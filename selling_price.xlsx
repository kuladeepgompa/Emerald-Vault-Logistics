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1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</sheets>
  <calcPr calcId="124519"/>
</workbook>
</file>

<file path=xl/calcChain.xml><?xml version="1.0" encoding="utf-8"?>
<calcChain xmlns="http://schemas.openxmlformats.org/spreadsheetml/2006/main">
  <c r="L3" i="21"/>
  <c r="M3" s="1"/>
  <c r="L4"/>
  <c r="L5"/>
  <c r="L6"/>
  <c r="M6" s="1"/>
  <c r="L7"/>
  <c r="M7" s="1"/>
  <c r="L8"/>
  <c r="L9"/>
  <c r="L10"/>
  <c r="M10" s="1"/>
  <c r="L11"/>
  <c r="M11" s="1"/>
  <c r="L12"/>
  <c r="L13"/>
  <c r="L14"/>
  <c r="M14" s="1"/>
  <c r="L15"/>
  <c r="M15" s="1"/>
  <c r="L16"/>
  <c r="L17"/>
  <c r="L18"/>
  <c r="M18" s="1"/>
  <c r="L19"/>
  <c r="M19" s="1"/>
  <c r="L20"/>
  <c r="L21"/>
  <c r="L22"/>
  <c r="M22" s="1"/>
  <c r="L23"/>
  <c r="M23" s="1"/>
  <c r="L24"/>
  <c r="L25"/>
  <c r="L26"/>
  <c r="M26" s="1"/>
  <c r="L27"/>
  <c r="M27" s="1"/>
  <c r="L28"/>
  <c r="L29"/>
  <c r="L30"/>
  <c r="M30" s="1"/>
  <c r="L31"/>
  <c r="M31" s="1"/>
  <c r="L32"/>
  <c r="L33"/>
  <c r="L34"/>
  <c r="M34" s="1"/>
  <c r="L35"/>
  <c r="M35" s="1"/>
  <c r="L36"/>
  <c r="L37"/>
  <c r="L38"/>
  <c r="M38" s="1"/>
  <c r="L39"/>
  <c r="M39" s="1"/>
  <c r="L40"/>
  <c r="L41"/>
  <c r="L42"/>
  <c r="M42" s="1"/>
  <c r="L43"/>
  <c r="M43" s="1"/>
  <c r="L44"/>
  <c r="L45"/>
  <c r="L46"/>
  <c r="M46" s="1"/>
  <c r="L47"/>
  <c r="M47" s="1"/>
  <c r="L48"/>
  <c r="L49"/>
  <c r="L50"/>
  <c r="M50" s="1"/>
  <c r="L51"/>
  <c r="M51" s="1"/>
  <c r="L52"/>
  <c r="L53"/>
  <c r="L54"/>
  <c r="M54" s="1"/>
  <c r="L55"/>
  <c r="M55" s="1"/>
  <c r="L56"/>
  <c r="L57"/>
  <c r="L58"/>
  <c r="M58" s="1"/>
  <c r="L59"/>
  <c r="M59" s="1"/>
  <c r="L60"/>
  <c r="L61"/>
  <c r="L62"/>
  <c r="M62" s="1"/>
  <c r="L63"/>
  <c r="M63" s="1"/>
  <c r="L64"/>
  <c r="L65"/>
  <c r="L66"/>
  <c r="M66" s="1"/>
  <c r="L67"/>
  <c r="M67" s="1"/>
  <c r="L2"/>
  <c r="M2" s="1"/>
  <c r="L68" i="22"/>
  <c r="J68"/>
  <c r="E68"/>
  <c r="D68"/>
  <c r="M67"/>
  <c r="K67"/>
  <c r="I67"/>
  <c r="G67"/>
  <c r="F67"/>
  <c r="M66"/>
  <c r="K66"/>
  <c r="I66"/>
  <c r="G66"/>
  <c r="F66"/>
  <c r="M65"/>
  <c r="K65"/>
  <c r="I65"/>
  <c r="G65"/>
  <c r="F65"/>
  <c r="M64"/>
  <c r="K64"/>
  <c r="I64"/>
  <c r="G64"/>
  <c r="F64"/>
  <c r="M63"/>
  <c r="K63"/>
  <c r="I63"/>
  <c r="G63"/>
  <c r="F63"/>
  <c r="M62"/>
  <c r="K62"/>
  <c r="I62"/>
  <c r="G62"/>
  <c r="F62"/>
  <c r="M61"/>
  <c r="K61"/>
  <c r="I61"/>
  <c r="G61"/>
  <c r="F61"/>
  <c r="M60"/>
  <c r="K60"/>
  <c r="I60"/>
  <c r="G60"/>
  <c r="F60"/>
  <c r="M59"/>
  <c r="K59"/>
  <c r="I59"/>
  <c r="G59"/>
  <c r="F59"/>
  <c r="M58"/>
  <c r="K58"/>
  <c r="I58"/>
  <c r="G58"/>
  <c r="F58"/>
  <c r="M57"/>
  <c r="K57"/>
  <c r="I57"/>
  <c r="G57"/>
  <c r="F57"/>
  <c r="M56"/>
  <c r="K56"/>
  <c r="I56"/>
  <c r="G56"/>
  <c r="F56"/>
  <c r="M55"/>
  <c r="K55"/>
  <c r="I55"/>
  <c r="G55"/>
  <c r="F55"/>
  <c r="M54"/>
  <c r="K54"/>
  <c r="I54"/>
  <c r="G54"/>
  <c r="F54"/>
  <c r="M53"/>
  <c r="K53"/>
  <c r="I53"/>
  <c r="G53"/>
  <c r="F53"/>
  <c r="M52"/>
  <c r="K52"/>
  <c r="I52"/>
  <c r="G52"/>
  <c r="F52"/>
  <c r="M51"/>
  <c r="K51"/>
  <c r="I51"/>
  <c r="G51"/>
  <c r="F51"/>
  <c r="M50"/>
  <c r="K50"/>
  <c r="I50"/>
  <c r="G50"/>
  <c r="F50"/>
  <c r="M49"/>
  <c r="K49"/>
  <c r="I49"/>
  <c r="G49"/>
  <c r="F49"/>
  <c r="M48"/>
  <c r="K48"/>
  <c r="I48"/>
  <c r="G48"/>
  <c r="F48"/>
  <c r="M47"/>
  <c r="K47"/>
  <c r="I47"/>
  <c r="G47"/>
  <c r="F47"/>
  <c r="M46"/>
  <c r="K46"/>
  <c r="I46"/>
  <c r="G46"/>
  <c r="F46"/>
  <c r="M45"/>
  <c r="K45"/>
  <c r="I45"/>
  <c r="G45"/>
  <c r="F45"/>
  <c r="M44"/>
  <c r="K44"/>
  <c r="I44"/>
  <c r="G44"/>
  <c r="F44"/>
  <c r="M43"/>
  <c r="K43"/>
  <c r="I43"/>
  <c r="G43"/>
  <c r="F43"/>
  <c r="M42"/>
  <c r="K42"/>
  <c r="I42"/>
  <c r="G42"/>
  <c r="F42"/>
  <c r="M41"/>
  <c r="K41"/>
  <c r="I41"/>
  <c r="G41"/>
  <c r="F41"/>
  <c r="M40"/>
  <c r="K40"/>
  <c r="I40"/>
  <c r="G40"/>
  <c r="F40"/>
  <c r="M39"/>
  <c r="K39"/>
  <c r="I39"/>
  <c r="G39"/>
  <c r="F39"/>
  <c r="M38"/>
  <c r="K38"/>
  <c r="I38"/>
  <c r="G38"/>
  <c r="F38"/>
  <c r="M37"/>
  <c r="K37"/>
  <c r="I37"/>
  <c r="G37"/>
  <c r="F37"/>
  <c r="M36"/>
  <c r="K36"/>
  <c r="I36"/>
  <c r="G36"/>
  <c r="F36"/>
  <c r="M35"/>
  <c r="K35"/>
  <c r="I35"/>
  <c r="G35"/>
  <c r="F35"/>
  <c r="M34"/>
  <c r="K34"/>
  <c r="I34"/>
  <c r="G34"/>
  <c r="F34"/>
  <c r="M33"/>
  <c r="K33"/>
  <c r="I33"/>
  <c r="G33"/>
  <c r="F33"/>
  <c r="M32"/>
  <c r="K32"/>
  <c r="I32"/>
  <c r="G32"/>
  <c r="F32"/>
  <c r="M31"/>
  <c r="K31"/>
  <c r="I31"/>
  <c r="G31"/>
  <c r="F31"/>
  <c r="M30"/>
  <c r="K30"/>
  <c r="I30"/>
  <c r="G30"/>
  <c r="F30"/>
  <c r="M29"/>
  <c r="K29"/>
  <c r="I29"/>
  <c r="G29"/>
  <c r="F29"/>
  <c r="M28"/>
  <c r="K28"/>
  <c r="I28"/>
  <c r="G28"/>
  <c r="F28"/>
  <c r="M27"/>
  <c r="K27"/>
  <c r="I27"/>
  <c r="G27"/>
  <c r="F27"/>
  <c r="M26"/>
  <c r="K26"/>
  <c r="I26"/>
  <c r="G26"/>
  <c r="F26"/>
  <c r="M25"/>
  <c r="K25"/>
  <c r="I25"/>
  <c r="G25"/>
  <c r="F25"/>
  <c r="M24"/>
  <c r="K24"/>
  <c r="I24"/>
  <c r="G24"/>
  <c r="F24"/>
  <c r="M23"/>
  <c r="K23"/>
  <c r="I23"/>
  <c r="G23"/>
  <c r="F23"/>
  <c r="M22"/>
  <c r="K22"/>
  <c r="I22"/>
  <c r="G22"/>
  <c r="F22"/>
  <c r="M21"/>
  <c r="K21"/>
  <c r="I21"/>
  <c r="G21"/>
  <c r="F21"/>
  <c r="M20"/>
  <c r="K20"/>
  <c r="I20"/>
  <c r="G20"/>
  <c r="F20"/>
  <c r="M19"/>
  <c r="K19"/>
  <c r="I19"/>
  <c r="G19"/>
  <c r="F19"/>
  <c r="M18"/>
  <c r="K18"/>
  <c r="I18"/>
  <c r="G18"/>
  <c r="F18"/>
  <c r="M17"/>
  <c r="K17"/>
  <c r="I17"/>
  <c r="G17"/>
  <c r="F17"/>
  <c r="M16"/>
  <c r="K16"/>
  <c r="I16"/>
  <c r="G16"/>
  <c r="F16"/>
  <c r="M15"/>
  <c r="K15"/>
  <c r="I15"/>
  <c r="G15"/>
  <c r="F15"/>
  <c r="M14"/>
  <c r="K14"/>
  <c r="I14"/>
  <c r="G14"/>
  <c r="F14"/>
  <c r="M13"/>
  <c r="K13"/>
  <c r="I13"/>
  <c r="G13"/>
  <c r="F13"/>
  <c r="M12"/>
  <c r="K12"/>
  <c r="I12"/>
  <c r="G12"/>
  <c r="F12"/>
  <c r="M11"/>
  <c r="K11"/>
  <c r="I11"/>
  <c r="G11"/>
  <c r="F11"/>
  <c r="M10"/>
  <c r="K10"/>
  <c r="I10"/>
  <c r="G10"/>
  <c r="F10"/>
  <c r="M9"/>
  <c r="K9"/>
  <c r="I9"/>
  <c r="G9"/>
  <c r="F9"/>
  <c r="M8"/>
  <c r="K8"/>
  <c r="I8"/>
  <c r="G8"/>
  <c r="F8"/>
  <c r="M7"/>
  <c r="K7"/>
  <c r="I7"/>
  <c r="G7"/>
  <c r="F7"/>
  <c r="M6"/>
  <c r="K6"/>
  <c r="I6"/>
  <c r="G6"/>
  <c r="F6"/>
  <c r="M5"/>
  <c r="K5"/>
  <c r="I5"/>
  <c r="G5"/>
  <c r="F5"/>
  <c r="M4"/>
  <c r="M68" s="1"/>
  <c r="K4"/>
  <c r="I4"/>
  <c r="G4"/>
  <c r="F4"/>
  <c r="M3"/>
  <c r="K3"/>
  <c r="I3"/>
  <c r="G3"/>
  <c r="F3"/>
  <c r="M2"/>
  <c r="K2"/>
  <c r="I2"/>
  <c r="G2"/>
  <c r="F2"/>
  <c r="F68" s="1"/>
  <c r="L3" i="20"/>
  <c r="M3" s="1"/>
  <c r="L4"/>
  <c r="L5"/>
  <c r="L6"/>
  <c r="L7"/>
  <c r="M7" s="1"/>
  <c r="L8"/>
  <c r="L9"/>
  <c r="L10"/>
  <c r="L11"/>
  <c r="M11" s="1"/>
  <c r="L12"/>
  <c r="L13"/>
  <c r="L14"/>
  <c r="L15"/>
  <c r="M15" s="1"/>
  <c r="L16"/>
  <c r="L17"/>
  <c r="L18"/>
  <c r="L19"/>
  <c r="M19" s="1"/>
  <c r="L20"/>
  <c r="L21"/>
  <c r="L22"/>
  <c r="L23"/>
  <c r="M23" s="1"/>
  <c r="L24"/>
  <c r="L25"/>
  <c r="L26"/>
  <c r="L27"/>
  <c r="M27" s="1"/>
  <c r="L28"/>
  <c r="L29"/>
  <c r="L30"/>
  <c r="L31"/>
  <c r="M31" s="1"/>
  <c r="L32"/>
  <c r="L33"/>
  <c r="L34"/>
  <c r="L35"/>
  <c r="M35" s="1"/>
  <c r="L36"/>
  <c r="L37"/>
  <c r="L38"/>
  <c r="L39"/>
  <c r="M39" s="1"/>
  <c r="L40"/>
  <c r="L41"/>
  <c r="L42"/>
  <c r="L43"/>
  <c r="M43" s="1"/>
  <c r="L44"/>
  <c r="L45"/>
  <c r="L46"/>
  <c r="L47"/>
  <c r="M47" s="1"/>
  <c r="L48"/>
  <c r="L49"/>
  <c r="L50"/>
  <c r="L51"/>
  <c r="M51" s="1"/>
  <c r="L52"/>
  <c r="L53"/>
  <c r="L54"/>
  <c r="L55"/>
  <c r="M55" s="1"/>
  <c r="L56"/>
  <c r="L57"/>
  <c r="L58"/>
  <c r="L59"/>
  <c r="M59" s="1"/>
  <c r="L60"/>
  <c r="L61"/>
  <c r="L62"/>
  <c r="L63"/>
  <c r="M63" s="1"/>
  <c r="L64"/>
  <c r="L65"/>
  <c r="L66"/>
  <c r="L67"/>
  <c r="M67" s="1"/>
  <c r="L2"/>
  <c r="J68" i="21"/>
  <c r="E68"/>
  <c r="D68"/>
  <c r="K67"/>
  <c r="I67"/>
  <c r="G67"/>
  <c r="F67"/>
  <c r="K66"/>
  <c r="I66"/>
  <c r="G66"/>
  <c r="F66"/>
  <c r="M65"/>
  <c r="K65"/>
  <c r="I65"/>
  <c r="G65"/>
  <c r="F65"/>
  <c r="M64"/>
  <c r="K64"/>
  <c r="I64"/>
  <c r="G64"/>
  <c r="F64"/>
  <c r="K63"/>
  <c r="I63"/>
  <c r="G63"/>
  <c r="F63"/>
  <c r="K62"/>
  <c r="I62"/>
  <c r="G62"/>
  <c r="F62"/>
  <c r="M61"/>
  <c r="K61"/>
  <c r="I61"/>
  <c r="G61"/>
  <c r="F61"/>
  <c r="M60"/>
  <c r="K60"/>
  <c r="I60"/>
  <c r="G60"/>
  <c r="F60"/>
  <c r="K59"/>
  <c r="I59"/>
  <c r="G59"/>
  <c r="F59"/>
  <c r="K58"/>
  <c r="I58"/>
  <c r="G58"/>
  <c r="F58"/>
  <c r="M57"/>
  <c r="K57"/>
  <c r="I57"/>
  <c r="G57"/>
  <c r="F57"/>
  <c r="M56"/>
  <c r="K56"/>
  <c r="I56"/>
  <c r="G56"/>
  <c r="F56"/>
  <c r="K55"/>
  <c r="I55"/>
  <c r="G55"/>
  <c r="F55"/>
  <c r="K54"/>
  <c r="I54"/>
  <c r="G54"/>
  <c r="F54"/>
  <c r="M53"/>
  <c r="K53"/>
  <c r="I53"/>
  <c r="G53"/>
  <c r="F53"/>
  <c r="M52"/>
  <c r="K52"/>
  <c r="I52"/>
  <c r="G52"/>
  <c r="F52"/>
  <c r="K51"/>
  <c r="I51"/>
  <c r="G51"/>
  <c r="F51"/>
  <c r="K50"/>
  <c r="I50"/>
  <c r="G50"/>
  <c r="F50"/>
  <c r="M49"/>
  <c r="K49"/>
  <c r="I49"/>
  <c r="G49"/>
  <c r="F49"/>
  <c r="M48"/>
  <c r="K48"/>
  <c r="I48"/>
  <c r="G48"/>
  <c r="F48"/>
  <c r="K47"/>
  <c r="I47"/>
  <c r="G47"/>
  <c r="F47"/>
  <c r="K46"/>
  <c r="I46"/>
  <c r="G46"/>
  <c r="F46"/>
  <c r="M45"/>
  <c r="K45"/>
  <c r="I45"/>
  <c r="G45"/>
  <c r="F45"/>
  <c r="M44"/>
  <c r="K44"/>
  <c r="I44"/>
  <c r="G44"/>
  <c r="F44"/>
  <c r="K43"/>
  <c r="I43"/>
  <c r="G43"/>
  <c r="F43"/>
  <c r="K42"/>
  <c r="I42"/>
  <c r="G42"/>
  <c r="F42"/>
  <c r="M41"/>
  <c r="K41"/>
  <c r="I41"/>
  <c r="G41"/>
  <c r="F41"/>
  <c r="M40"/>
  <c r="K40"/>
  <c r="I40"/>
  <c r="G40"/>
  <c r="F40"/>
  <c r="K39"/>
  <c r="I39"/>
  <c r="G39"/>
  <c r="F39"/>
  <c r="K38"/>
  <c r="I38"/>
  <c r="G38"/>
  <c r="F38"/>
  <c r="M37"/>
  <c r="K37"/>
  <c r="I37"/>
  <c r="G37"/>
  <c r="F37"/>
  <c r="M36"/>
  <c r="K36"/>
  <c r="I36"/>
  <c r="G36"/>
  <c r="F36"/>
  <c r="K35"/>
  <c r="I35"/>
  <c r="G35"/>
  <c r="F35"/>
  <c r="K34"/>
  <c r="I34"/>
  <c r="G34"/>
  <c r="F34"/>
  <c r="M33"/>
  <c r="K33"/>
  <c r="I33"/>
  <c r="G33"/>
  <c r="F33"/>
  <c r="M32"/>
  <c r="K32"/>
  <c r="I32"/>
  <c r="G32"/>
  <c r="F32"/>
  <c r="K31"/>
  <c r="I31"/>
  <c r="G31"/>
  <c r="F31"/>
  <c r="K30"/>
  <c r="I30"/>
  <c r="G30"/>
  <c r="F30"/>
  <c r="M29"/>
  <c r="K29"/>
  <c r="I29"/>
  <c r="G29"/>
  <c r="F29"/>
  <c r="M28"/>
  <c r="K28"/>
  <c r="I28"/>
  <c r="G28"/>
  <c r="F28"/>
  <c r="K27"/>
  <c r="I27"/>
  <c r="G27"/>
  <c r="F27"/>
  <c r="K26"/>
  <c r="I26"/>
  <c r="G26"/>
  <c r="F26"/>
  <c r="M25"/>
  <c r="K25"/>
  <c r="I25"/>
  <c r="G25"/>
  <c r="F25"/>
  <c r="M24"/>
  <c r="K24"/>
  <c r="I24"/>
  <c r="G24"/>
  <c r="F24"/>
  <c r="K23"/>
  <c r="I23"/>
  <c r="G23"/>
  <c r="F23"/>
  <c r="K22"/>
  <c r="I22"/>
  <c r="G22"/>
  <c r="F22"/>
  <c r="M21"/>
  <c r="K21"/>
  <c r="I21"/>
  <c r="G21"/>
  <c r="F21"/>
  <c r="M20"/>
  <c r="K20"/>
  <c r="I20"/>
  <c r="G20"/>
  <c r="F20"/>
  <c r="K19"/>
  <c r="I19"/>
  <c r="G19"/>
  <c r="F19"/>
  <c r="K18"/>
  <c r="I18"/>
  <c r="G18"/>
  <c r="F18"/>
  <c r="M17"/>
  <c r="K17"/>
  <c r="I17"/>
  <c r="G17"/>
  <c r="F17"/>
  <c r="M16"/>
  <c r="K16"/>
  <c r="I16"/>
  <c r="G16"/>
  <c r="F16"/>
  <c r="K15"/>
  <c r="I15"/>
  <c r="G15"/>
  <c r="F15"/>
  <c r="K14"/>
  <c r="I14"/>
  <c r="G14"/>
  <c r="F14"/>
  <c r="M13"/>
  <c r="K13"/>
  <c r="I13"/>
  <c r="G13"/>
  <c r="F13"/>
  <c r="M12"/>
  <c r="K12"/>
  <c r="I12"/>
  <c r="G12"/>
  <c r="F12"/>
  <c r="K11"/>
  <c r="I11"/>
  <c r="G11"/>
  <c r="F11"/>
  <c r="K10"/>
  <c r="I10"/>
  <c r="G10"/>
  <c r="F10"/>
  <c r="M9"/>
  <c r="K9"/>
  <c r="I9"/>
  <c r="G9"/>
  <c r="F9"/>
  <c r="M8"/>
  <c r="K8"/>
  <c r="I8"/>
  <c r="G8"/>
  <c r="F8"/>
  <c r="K7"/>
  <c r="I7"/>
  <c r="G7"/>
  <c r="F7"/>
  <c r="K6"/>
  <c r="I6"/>
  <c r="G6"/>
  <c r="F6"/>
  <c r="M5"/>
  <c r="K5"/>
  <c r="I5"/>
  <c r="G5"/>
  <c r="F5"/>
  <c r="M4"/>
  <c r="K4"/>
  <c r="I4"/>
  <c r="G4"/>
  <c r="F4"/>
  <c r="K3"/>
  <c r="I3"/>
  <c r="G3"/>
  <c r="F3"/>
  <c r="K2"/>
  <c r="I2"/>
  <c r="G2"/>
  <c r="F2"/>
  <c r="F68" s="1"/>
  <c r="L3" i="19"/>
  <c r="M3" s="1"/>
  <c r="L4"/>
  <c r="L5"/>
  <c r="M5" s="1"/>
  <c r="L6"/>
  <c r="L7"/>
  <c r="M7" s="1"/>
  <c r="L8"/>
  <c r="L9"/>
  <c r="M9" s="1"/>
  <c r="L10"/>
  <c r="L11"/>
  <c r="M11" s="1"/>
  <c r="L12"/>
  <c r="L13"/>
  <c r="M13" s="1"/>
  <c r="L14"/>
  <c r="L15"/>
  <c r="M15" s="1"/>
  <c r="L16"/>
  <c r="L17"/>
  <c r="M17" s="1"/>
  <c r="L18"/>
  <c r="L19"/>
  <c r="M19" s="1"/>
  <c r="L20"/>
  <c r="L21"/>
  <c r="M21" s="1"/>
  <c r="L22"/>
  <c r="L23"/>
  <c r="M23" s="1"/>
  <c r="L24"/>
  <c r="L25"/>
  <c r="M25" s="1"/>
  <c r="L26"/>
  <c r="L27"/>
  <c r="M27" s="1"/>
  <c r="L28"/>
  <c r="L29"/>
  <c r="M29" s="1"/>
  <c r="L30"/>
  <c r="L31"/>
  <c r="M31" s="1"/>
  <c r="L32"/>
  <c r="L33"/>
  <c r="M33" s="1"/>
  <c r="L34"/>
  <c r="L35"/>
  <c r="M35" s="1"/>
  <c r="L36"/>
  <c r="L37"/>
  <c r="M37" s="1"/>
  <c r="L38"/>
  <c r="L39"/>
  <c r="M39" s="1"/>
  <c r="L40"/>
  <c r="L41"/>
  <c r="M41" s="1"/>
  <c r="L42"/>
  <c r="L43"/>
  <c r="M43" s="1"/>
  <c r="L44"/>
  <c r="L45"/>
  <c r="M45" s="1"/>
  <c r="L46"/>
  <c r="L47"/>
  <c r="M47" s="1"/>
  <c r="L48"/>
  <c r="L49"/>
  <c r="M49" s="1"/>
  <c r="L50"/>
  <c r="L51"/>
  <c r="M51" s="1"/>
  <c r="L52"/>
  <c r="L53"/>
  <c r="M53" s="1"/>
  <c r="L54"/>
  <c r="L55"/>
  <c r="M55" s="1"/>
  <c r="L56"/>
  <c r="L57"/>
  <c r="M57" s="1"/>
  <c r="L58"/>
  <c r="L59"/>
  <c r="M59" s="1"/>
  <c r="L60"/>
  <c r="L61"/>
  <c r="M61" s="1"/>
  <c r="L62"/>
  <c r="L63"/>
  <c r="M63" s="1"/>
  <c r="L64"/>
  <c r="L65"/>
  <c r="M65" s="1"/>
  <c r="L66"/>
  <c r="L67"/>
  <c r="M67" s="1"/>
  <c r="L2"/>
  <c r="J68" i="20"/>
  <c r="E68"/>
  <c r="D68"/>
  <c r="K67"/>
  <c r="I67"/>
  <c r="G67"/>
  <c r="F67"/>
  <c r="M66"/>
  <c r="K66"/>
  <c r="I66"/>
  <c r="G66"/>
  <c r="F66"/>
  <c r="M65"/>
  <c r="K65"/>
  <c r="I65"/>
  <c r="G65"/>
  <c r="F65"/>
  <c r="M64"/>
  <c r="K64"/>
  <c r="I64"/>
  <c r="G64"/>
  <c r="F64"/>
  <c r="K63"/>
  <c r="I63"/>
  <c r="G63"/>
  <c r="F63"/>
  <c r="M62"/>
  <c r="K62"/>
  <c r="I62"/>
  <c r="G62"/>
  <c r="F62"/>
  <c r="M61"/>
  <c r="K61"/>
  <c r="I61"/>
  <c r="G61"/>
  <c r="F61"/>
  <c r="M60"/>
  <c r="K60"/>
  <c r="I60"/>
  <c r="G60"/>
  <c r="F60"/>
  <c r="K59"/>
  <c r="I59"/>
  <c r="G59"/>
  <c r="F59"/>
  <c r="M58"/>
  <c r="K58"/>
  <c r="I58"/>
  <c r="G58"/>
  <c r="F58"/>
  <c r="M57"/>
  <c r="K57"/>
  <c r="I57"/>
  <c r="G57"/>
  <c r="F57"/>
  <c r="M56"/>
  <c r="K56"/>
  <c r="I56"/>
  <c r="G56"/>
  <c r="F56"/>
  <c r="K55"/>
  <c r="I55"/>
  <c r="G55"/>
  <c r="F55"/>
  <c r="M54"/>
  <c r="K54"/>
  <c r="I54"/>
  <c r="G54"/>
  <c r="F54"/>
  <c r="M53"/>
  <c r="K53"/>
  <c r="I53"/>
  <c r="G53"/>
  <c r="F53"/>
  <c r="M52"/>
  <c r="K52"/>
  <c r="I52"/>
  <c r="G52"/>
  <c r="F52"/>
  <c r="K51"/>
  <c r="I51"/>
  <c r="G51"/>
  <c r="F51"/>
  <c r="M50"/>
  <c r="K50"/>
  <c r="I50"/>
  <c r="G50"/>
  <c r="F50"/>
  <c r="M49"/>
  <c r="K49"/>
  <c r="I49"/>
  <c r="G49"/>
  <c r="F49"/>
  <c r="M48"/>
  <c r="K48"/>
  <c r="I48"/>
  <c r="G48"/>
  <c r="F48"/>
  <c r="K47"/>
  <c r="I47"/>
  <c r="G47"/>
  <c r="F47"/>
  <c r="M46"/>
  <c r="K46"/>
  <c r="I46"/>
  <c r="G46"/>
  <c r="F46"/>
  <c r="M45"/>
  <c r="K45"/>
  <c r="I45"/>
  <c r="G45"/>
  <c r="F45"/>
  <c r="M44"/>
  <c r="K44"/>
  <c r="I44"/>
  <c r="G44"/>
  <c r="F44"/>
  <c r="K43"/>
  <c r="I43"/>
  <c r="G43"/>
  <c r="F43"/>
  <c r="M42"/>
  <c r="K42"/>
  <c r="I42"/>
  <c r="G42"/>
  <c r="F42"/>
  <c r="M41"/>
  <c r="K41"/>
  <c r="I41"/>
  <c r="G41"/>
  <c r="F41"/>
  <c r="M40"/>
  <c r="K40"/>
  <c r="I40"/>
  <c r="G40"/>
  <c r="F40"/>
  <c r="K39"/>
  <c r="I39"/>
  <c r="G39"/>
  <c r="F39"/>
  <c r="M38"/>
  <c r="K38"/>
  <c r="I38"/>
  <c r="G38"/>
  <c r="F38"/>
  <c r="M37"/>
  <c r="K37"/>
  <c r="I37"/>
  <c r="G37"/>
  <c r="F37"/>
  <c r="M36"/>
  <c r="K36"/>
  <c r="I36"/>
  <c r="G36"/>
  <c r="F36"/>
  <c r="K35"/>
  <c r="I35"/>
  <c r="G35"/>
  <c r="F35"/>
  <c r="M34"/>
  <c r="K34"/>
  <c r="I34"/>
  <c r="G34"/>
  <c r="F34"/>
  <c r="M33"/>
  <c r="K33"/>
  <c r="I33"/>
  <c r="G33"/>
  <c r="F33"/>
  <c r="M32"/>
  <c r="K32"/>
  <c r="I32"/>
  <c r="G32"/>
  <c r="F32"/>
  <c r="K31"/>
  <c r="I31"/>
  <c r="G31"/>
  <c r="F31"/>
  <c r="M30"/>
  <c r="K30"/>
  <c r="I30"/>
  <c r="G30"/>
  <c r="F30"/>
  <c r="M29"/>
  <c r="K29"/>
  <c r="I29"/>
  <c r="G29"/>
  <c r="F29"/>
  <c r="M28"/>
  <c r="K28"/>
  <c r="I28"/>
  <c r="G28"/>
  <c r="F28"/>
  <c r="K27"/>
  <c r="I27"/>
  <c r="G27"/>
  <c r="F27"/>
  <c r="M26"/>
  <c r="K26"/>
  <c r="I26"/>
  <c r="G26"/>
  <c r="F26"/>
  <c r="M25"/>
  <c r="K25"/>
  <c r="I25"/>
  <c r="G25"/>
  <c r="F25"/>
  <c r="M24"/>
  <c r="K24"/>
  <c r="I24"/>
  <c r="G24"/>
  <c r="F24"/>
  <c r="K23"/>
  <c r="I23"/>
  <c r="G23"/>
  <c r="F23"/>
  <c r="M22"/>
  <c r="K22"/>
  <c r="I22"/>
  <c r="G22"/>
  <c r="F22"/>
  <c r="M21"/>
  <c r="K21"/>
  <c r="I21"/>
  <c r="G21"/>
  <c r="F21"/>
  <c r="M20"/>
  <c r="K20"/>
  <c r="I20"/>
  <c r="G20"/>
  <c r="F20"/>
  <c r="K19"/>
  <c r="I19"/>
  <c r="G19"/>
  <c r="F19"/>
  <c r="M18"/>
  <c r="K18"/>
  <c r="I18"/>
  <c r="G18"/>
  <c r="F18"/>
  <c r="M17"/>
  <c r="K17"/>
  <c r="I17"/>
  <c r="G17"/>
  <c r="F17"/>
  <c r="M16"/>
  <c r="K16"/>
  <c r="I16"/>
  <c r="G16"/>
  <c r="F16"/>
  <c r="K15"/>
  <c r="I15"/>
  <c r="G15"/>
  <c r="F15"/>
  <c r="M14"/>
  <c r="K14"/>
  <c r="I14"/>
  <c r="G14"/>
  <c r="F14"/>
  <c r="M13"/>
  <c r="K13"/>
  <c r="I13"/>
  <c r="G13"/>
  <c r="F13"/>
  <c r="M12"/>
  <c r="K12"/>
  <c r="I12"/>
  <c r="G12"/>
  <c r="F12"/>
  <c r="K11"/>
  <c r="I11"/>
  <c r="G11"/>
  <c r="F11"/>
  <c r="M10"/>
  <c r="K10"/>
  <c r="I10"/>
  <c r="G10"/>
  <c r="F10"/>
  <c r="M9"/>
  <c r="K9"/>
  <c r="I9"/>
  <c r="G9"/>
  <c r="F9"/>
  <c r="M8"/>
  <c r="K8"/>
  <c r="I8"/>
  <c r="G8"/>
  <c r="F8"/>
  <c r="K7"/>
  <c r="I7"/>
  <c r="G7"/>
  <c r="F7"/>
  <c r="M6"/>
  <c r="K6"/>
  <c r="I6"/>
  <c r="G6"/>
  <c r="F6"/>
  <c r="M5"/>
  <c r="K5"/>
  <c r="I5"/>
  <c r="G5"/>
  <c r="F5"/>
  <c r="M4"/>
  <c r="K4"/>
  <c r="I4"/>
  <c r="G4"/>
  <c r="F4"/>
  <c r="K3"/>
  <c r="I3"/>
  <c r="G3"/>
  <c r="F3"/>
  <c r="K2"/>
  <c r="I2"/>
  <c r="G2"/>
  <c r="F2"/>
  <c r="J68" i="19"/>
  <c r="E68"/>
  <c r="D68"/>
  <c r="K67"/>
  <c r="I67"/>
  <c r="G67"/>
  <c r="F67"/>
  <c r="M66"/>
  <c r="K66"/>
  <c r="I66"/>
  <c r="G66"/>
  <c r="F66"/>
  <c r="K65"/>
  <c r="I65"/>
  <c r="G65"/>
  <c r="F65"/>
  <c r="M64"/>
  <c r="K64"/>
  <c r="I64"/>
  <c r="G64"/>
  <c r="F64"/>
  <c r="K63"/>
  <c r="I63"/>
  <c r="G63"/>
  <c r="F63"/>
  <c r="M62"/>
  <c r="K62"/>
  <c r="I62"/>
  <c r="G62"/>
  <c r="F62"/>
  <c r="K61"/>
  <c r="I61"/>
  <c r="G61"/>
  <c r="F61"/>
  <c r="M60"/>
  <c r="K60"/>
  <c r="I60"/>
  <c r="G60"/>
  <c r="F60"/>
  <c r="K59"/>
  <c r="I59"/>
  <c r="G59"/>
  <c r="F59"/>
  <c r="M58"/>
  <c r="K58"/>
  <c r="I58"/>
  <c r="G58"/>
  <c r="F58"/>
  <c r="K57"/>
  <c r="I57"/>
  <c r="G57"/>
  <c r="F57"/>
  <c r="M56"/>
  <c r="K56"/>
  <c r="I56"/>
  <c r="G56"/>
  <c r="F56"/>
  <c r="K55"/>
  <c r="I55"/>
  <c r="G55"/>
  <c r="F55"/>
  <c r="M54"/>
  <c r="K54"/>
  <c r="I54"/>
  <c r="G54"/>
  <c r="F54"/>
  <c r="K53"/>
  <c r="I53"/>
  <c r="G53"/>
  <c r="F53"/>
  <c r="M52"/>
  <c r="K52"/>
  <c r="I52"/>
  <c r="G52"/>
  <c r="F52"/>
  <c r="K51"/>
  <c r="I51"/>
  <c r="G51"/>
  <c r="F51"/>
  <c r="M50"/>
  <c r="K50"/>
  <c r="I50"/>
  <c r="G50"/>
  <c r="F50"/>
  <c r="K49"/>
  <c r="I49"/>
  <c r="G49"/>
  <c r="F49"/>
  <c r="M48"/>
  <c r="K48"/>
  <c r="I48"/>
  <c r="G48"/>
  <c r="F48"/>
  <c r="K47"/>
  <c r="I47"/>
  <c r="G47"/>
  <c r="F47"/>
  <c r="M46"/>
  <c r="K46"/>
  <c r="I46"/>
  <c r="G46"/>
  <c r="F46"/>
  <c r="K45"/>
  <c r="I45"/>
  <c r="G45"/>
  <c r="F45"/>
  <c r="M44"/>
  <c r="K44"/>
  <c r="I44"/>
  <c r="G44"/>
  <c r="F44"/>
  <c r="K43"/>
  <c r="I43"/>
  <c r="G43"/>
  <c r="F43"/>
  <c r="M42"/>
  <c r="K42"/>
  <c r="I42"/>
  <c r="G42"/>
  <c r="F42"/>
  <c r="K41"/>
  <c r="I41"/>
  <c r="G41"/>
  <c r="F41"/>
  <c r="M40"/>
  <c r="K40"/>
  <c r="I40"/>
  <c r="G40"/>
  <c r="F40"/>
  <c r="K39"/>
  <c r="I39"/>
  <c r="G39"/>
  <c r="F39"/>
  <c r="M38"/>
  <c r="K38"/>
  <c r="I38"/>
  <c r="G38"/>
  <c r="F38"/>
  <c r="K37"/>
  <c r="I37"/>
  <c r="G37"/>
  <c r="F37"/>
  <c r="M36"/>
  <c r="K36"/>
  <c r="I36"/>
  <c r="G36"/>
  <c r="F36"/>
  <c r="K35"/>
  <c r="I35"/>
  <c r="G35"/>
  <c r="F35"/>
  <c r="M34"/>
  <c r="K34"/>
  <c r="I34"/>
  <c r="G34"/>
  <c r="F34"/>
  <c r="K33"/>
  <c r="I33"/>
  <c r="G33"/>
  <c r="F33"/>
  <c r="M32"/>
  <c r="K32"/>
  <c r="I32"/>
  <c r="G32"/>
  <c r="F32"/>
  <c r="K31"/>
  <c r="I31"/>
  <c r="G31"/>
  <c r="F31"/>
  <c r="M30"/>
  <c r="K30"/>
  <c r="I30"/>
  <c r="G30"/>
  <c r="F30"/>
  <c r="K29"/>
  <c r="I29"/>
  <c r="G29"/>
  <c r="F29"/>
  <c r="M28"/>
  <c r="K28"/>
  <c r="I28"/>
  <c r="G28"/>
  <c r="F28"/>
  <c r="K27"/>
  <c r="I27"/>
  <c r="G27"/>
  <c r="F27"/>
  <c r="M26"/>
  <c r="K26"/>
  <c r="I26"/>
  <c r="G26"/>
  <c r="F26"/>
  <c r="K25"/>
  <c r="I25"/>
  <c r="G25"/>
  <c r="F25"/>
  <c r="M24"/>
  <c r="K24"/>
  <c r="I24"/>
  <c r="G24"/>
  <c r="F24"/>
  <c r="K23"/>
  <c r="I23"/>
  <c r="G23"/>
  <c r="F23"/>
  <c r="M22"/>
  <c r="K22"/>
  <c r="I22"/>
  <c r="G22"/>
  <c r="F22"/>
  <c r="K21"/>
  <c r="I21"/>
  <c r="G21"/>
  <c r="F21"/>
  <c r="M20"/>
  <c r="K20"/>
  <c r="I20"/>
  <c r="G20"/>
  <c r="F20"/>
  <c r="K19"/>
  <c r="I19"/>
  <c r="G19"/>
  <c r="F19"/>
  <c r="M18"/>
  <c r="K18"/>
  <c r="I18"/>
  <c r="G18"/>
  <c r="F18"/>
  <c r="K17"/>
  <c r="I17"/>
  <c r="G17"/>
  <c r="F17"/>
  <c r="M16"/>
  <c r="K16"/>
  <c r="I16"/>
  <c r="G16"/>
  <c r="F16"/>
  <c r="K15"/>
  <c r="I15"/>
  <c r="G15"/>
  <c r="F15"/>
  <c r="M14"/>
  <c r="K14"/>
  <c r="I14"/>
  <c r="G14"/>
  <c r="F14"/>
  <c r="K13"/>
  <c r="I13"/>
  <c r="G13"/>
  <c r="F13"/>
  <c r="M12"/>
  <c r="K12"/>
  <c r="I12"/>
  <c r="G12"/>
  <c r="F12"/>
  <c r="K11"/>
  <c r="I11"/>
  <c r="G11"/>
  <c r="F11"/>
  <c r="M10"/>
  <c r="K10"/>
  <c r="I10"/>
  <c r="G10"/>
  <c r="F10"/>
  <c r="K9"/>
  <c r="I9"/>
  <c r="G9"/>
  <c r="F9"/>
  <c r="M8"/>
  <c r="K8"/>
  <c r="I8"/>
  <c r="G8"/>
  <c r="F8"/>
  <c r="K7"/>
  <c r="I7"/>
  <c r="G7"/>
  <c r="F7"/>
  <c r="M6"/>
  <c r="K6"/>
  <c r="I6"/>
  <c r="G6"/>
  <c r="F6"/>
  <c r="K5"/>
  <c r="I5"/>
  <c r="G5"/>
  <c r="F5"/>
  <c r="M4"/>
  <c r="K4"/>
  <c r="I4"/>
  <c r="G4"/>
  <c r="F4"/>
  <c r="K3"/>
  <c r="I3"/>
  <c r="G3"/>
  <c r="F3"/>
  <c r="M2"/>
  <c r="K2"/>
  <c r="I2"/>
  <c r="G2"/>
  <c r="G68" s="1"/>
  <c r="F2"/>
  <c r="L3" i="17"/>
  <c r="L4"/>
  <c r="M4" s="1"/>
  <c r="L5"/>
  <c r="M5" s="1"/>
  <c r="L6"/>
  <c r="L7"/>
  <c r="L8"/>
  <c r="M8" s="1"/>
  <c r="L9"/>
  <c r="M9" s="1"/>
  <c r="L10"/>
  <c r="L11"/>
  <c r="L12"/>
  <c r="M12" s="1"/>
  <c r="L13"/>
  <c r="L14"/>
  <c r="L15"/>
  <c r="L16"/>
  <c r="L17"/>
  <c r="L18"/>
  <c r="L19"/>
  <c r="L20"/>
  <c r="M20" s="1"/>
  <c r="L21"/>
  <c r="M21" s="1"/>
  <c r="L22"/>
  <c r="L23"/>
  <c r="L24"/>
  <c r="M24" s="1"/>
  <c r="L25"/>
  <c r="M25" s="1"/>
  <c r="L26"/>
  <c r="L27"/>
  <c r="L28"/>
  <c r="M28" s="1"/>
  <c r="L29"/>
  <c r="L30"/>
  <c r="L31"/>
  <c r="L32"/>
  <c r="M32" s="1"/>
  <c r="L33"/>
  <c r="M33" s="1"/>
  <c r="L34"/>
  <c r="L35"/>
  <c r="L36"/>
  <c r="M36" s="1"/>
  <c r="L37"/>
  <c r="L38"/>
  <c r="L39"/>
  <c r="L40"/>
  <c r="M40" s="1"/>
  <c r="L41"/>
  <c r="M41" s="1"/>
  <c r="L42"/>
  <c r="L43"/>
  <c r="L44"/>
  <c r="M44" s="1"/>
  <c r="L45"/>
  <c r="L46"/>
  <c r="L47"/>
  <c r="L48"/>
  <c r="M48" s="1"/>
  <c r="L49"/>
  <c r="M49" s="1"/>
  <c r="L50"/>
  <c r="L51"/>
  <c r="L52"/>
  <c r="M52" s="1"/>
  <c r="L53"/>
  <c r="L54"/>
  <c r="L55"/>
  <c r="L56"/>
  <c r="M56" s="1"/>
  <c r="L57"/>
  <c r="M57" s="1"/>
  <c r="L58"/>
  <c r="L59"/>
  <c r="L60"/>
  <c r="M60" s="1"/>
  <c r="L61"/>
  <c r="L62"/>
  <c r="L63"/>
  <c r="L64"/>
  <c r="M64" s="1"/>
  <c r="L65"/>
  <c r="M65" s="1"/>
  <c r="L66"/>
  <c r="L67"/>
  <c r="L68"/>
  <c r="M16"/>
  <c r="M29"/>
  <c r="M37"/>
  <c r="M45"/>
  <c r="M53"/>
  <c r="M61"/>
  <c r="L2"/>
  <c r="L68" i="18"/>
  <c r="J68"/>
  <c r="E68"/>
  <c r="D68"/>
  <c r="M67"/>
  <c r="K67"/>
  <c r="I67"/>
  <c r="G67"/>
  <c r="F67"/>
  <c r="M66"/>
  <c r="K66"/>
  <c r="I66"/>
  <c r="G66"/>
  <c r="F66"/>
  <c r="M65"/>
  <c r="K65"/>
  <c r="I65"/>
  <c r="G65"/>
  <c r="F65"/>
  <c r="M64"/>
  <c r="K64"/>
  <c r="I64"/>
  <c r="G64"/>
  <c r="F64"/>
  <c r="M63"/>
  <c r="K63"/>
  <c r="I63"/>
  <c r="G63"/>
  <c r="F63"/>
  <c r="M62"/>
  <c r="K62"/>
  <c r="I62"/>
  <c r="G62"/>
  <c r="F62"/>
  <c r="M61"/>
  <c r="K61"/>
  <c r="I61"/>
  <c r="G61"/>
  <c r="F61"/>
  <c r="M60"/>
  <c r="K60"/>
  <c r="I60"/>
  <c r="G60"/>
  <c r="F60"/>
  <c r="M59"/>
  <c r="K59"/>
  <c r="I59"/>
  <c r="G59"/>
  <c r="F59"/>
  <c r="M58"/>
  <c r="K58"/>
  <c r="I58"/>
  <c r="G58"/>
  <c r="F58"/>
  <c r="M57"/>
  <c r="K57"/>
  <c r="I57"/>
  <c r="G57"/>
  <c r="F57"/>
  <c r="M56"/>
  <c r="K56"/>
  <c r="I56"/>
  <c r="G56"/>
  <c r="F56"/>
  <c r="M55"/>
  <c r="K55"/>
  <c r="I55"/>
  <c r="G55"/>
  <c r="F55"/>
  <c r="M54"/>
  <c r="K54"/>
  <c r="I54"/>
  <c r="G54"/>
  <c r="F54"/>
  <c r="M53"/>
  <c r="K53"/>
  <c r="I53"/>
  <c r="G53"/>
  <c r="F53"/>
  <c r="M52"/>
  <c r="K52"/>
  <c r="I52"/>
  <c r="G52"/>
  <c r="F52"/>
  <c r="M51"/>
  <c r="K51"/>
  <c r="I51"/>
  <c r="G51"/>
  <c r="F51"/>
  <c r="M50"/>
  <c r="K50"/>
  <c r="I50"/>
  <c r="G50"/>
  <c r="F50"/>
  <c r="M49"/>
  <c r="K49"/>
  <c r="I49"/>
  <c r="G49"/>
  <c r="F49"/>
  <c r="M48"/>
  <c r="K48"/>
  <c r="I48"/>
  <c r="G48"/>
  <c r="F48"/>
  <c r="M47"/>
  <c r="K47"/>
  <c r="I47"/>
  <c r="G47"/>
  <c r="F47"/>
  <c r="M46"/>
  <c r="K46"/>
  <c r="I46"/>
  <c r="G46"/>
  <c r="F46"/>
  <c r="M45"/>
  <c r="K45"/>
  <c r="I45"/>
  <c r="G45"/>
  <c r="F45"/>
  <c r="M44"/>
  <c r="K44"/>
  <c r="I44"/>
  <c r="G44"/>
  <c r="F44"/>
  <c r="M43"/>
  <c r="K43"/>
  <c r="I43"/>
  <c r="G43"/>
  <c r="F43"/>
  <c r="M42"/>
  <c r="K42"/>
  <c r="I42"/>
  <c r="G42"/>
  <c r="F42"/>
  <c r="M41"/>
  <c r="K41"/>
  <c r="I41"/>
  <c r="G41"/>
  <c r="F41"/>
  <c r="M40"/>
  <c r="K40"/>
  <c r="I40"/>
  <c r="G40"/>
  <c r="F40"/>
  <c r="M39"/>
  <c r="K39"/>
  <c r="I39"/>
  <c r="G39"/>
  <c r="F39"/>
  <c r="M38"/>
  <c r="K38"/>
  <c r="I38"/>
  <c r="G38"/>
  <c r="F38"/>
  <c r="M37"/>
  <c r="K37"/>
  <c r="I37"/>
  <c r="G37"/>
  <c r="F37"/>
  <c r="M36"/>
  <c r="K36"/>
  <c r="I36"/>
  <c r="G36"/>
  <c r="F36"/>
  <c r="M35"/>
  <c r="K35"/>
  <c r="I35"/>
  <c r="G35"/>
  <c r="F35"/>
  <c r="M34"/>
  <c r="K34"/>
  <c r="I34"/>
  <c r="G34"/>
  <c r="F34"/>
  <c r="M33"/>
  <c r="K33"/>
  <c r="I33"/>
  <c r="G33"/>
  <c r="F33"/>
  <c r="M32"/>
  <c r="K32"/>
  <c r="I32"/>
  <c r="G32"/>
  <c r="F32"/>
  <c r="M31"/>
  <c r="K31"/>
  <c r="I31"/>
  <c r="G31"/>
  <c r="F31"/>
  <c r="M30"/>
  <c r="K30"/>
  <c r="I30"/>
  <c r="G30"/>
  <c r="F30"/>
  <c r="M29"/>
  <c r="K29"/>
  <c r="I29"/>
  <c r="G29"/>
  <c r="F29"/>
  <c r="M28"/>
  <c r="K28"/>
  <c r="I28"/>
  <c r="G28"/>
  <c r="F28"/>
  <c r="M27"/>
  <c r="K27"/>
  <c r="I27"/>
  <c r="G27"/>
  <c r="F27"/>
  <c r="M26"/>
  <c r="K26"/>
  <c r="I26"/>
  <c r="G26"/>
  <c r="F26"/>
  <c r="M25"/>
  <c r="K25"/>
  <c r="I25"/>
  <c r="G25"/>
  <c r="F25"/>
  <c r="M24"/>
  <c r="K24"/>
  <c r="I24"/>
  <c r="G24"/>
  <c r="F24"/>
  <c r="M23"/>
  <c r="K23"/>
  <c r="I23"/>
  <c r="G23"/>
  <c r="F23"/>
  <c r="M22"/>
  <c r="K22"/>
  <c r="I22"/>
  <c r="G22"/>
  <c r="F22"/>
  <c r="M21"/>
  <c r="K21"/>
  <c r="I21"/>
  <c r="G21"/>
  <c r="F21"/>
  <c r="M20"/>
  <c r="K20"/>
  <c r="I20"/>
  <c r="G20"/>
  <c r="F20"/>
  <c r="M19"/>
  <c r="K19"/>
  <c r="I19"/>
  <c r="G19"/>
  <c r="F19"/>
  <c r="M18"/>
  <c r="K18"/>
  <c r="I18"/>
  <c r="G18"/>
  <c r="F18"/>
  <c r="M17"/>
  <c r="K17"/>
  <c r="I17"/>
  <c r="G17"/>
  <c r="F17"/>
  <c r="M16"/>
  <c r="K16"/>
  <c r="I16"/>
  <c r="G16"/>
  <c r="F16"/>
  <c r="M15"/>
  <c r="K15"/>
  <c r="I15"/>
  <c r="G15"/>
  <c r="F15"/>
  <c r="M14"/>
  <c r="K14"/>
  <c r="I14"/>
  <c r="G14"/>
  <c r="F14"/>
  <c r="M13"/>
  <c r="K13"/>
  <c r="I13"/>
  <c r="G13"/>
  <c r="F13"/>
  <c r="M12"/>
  <c r="K12"/>
  <c r="I12"/>
  <c r="G12"/>
  <c r="F12"/>
  <c r="M11"/>
  <c r="K11"/>
  <c r="I11"/>
  <c r="G11"/>
  <c r="F11"/>
  <c r="M10"/>
  <c r="K10"/>
  <c r="I10"/>
  <c r="G10"/>
  <c r="F10"/>
  <c r="M9"/>
  <c r="K9"/>
  <c r="I9"/>
  <c r="G9"/>
  <c r="F9"/>
  <c r="M8"/>
  <c r="K8"/>
  <c r="I8"/>
  <c r="G8"/>
  <c r="F8"/>
  <c r="M7"/>
  <c r="K7"/>
  <c r="I7"/>
  <c r="G7"/>
  <c r="F7"/>
  <c r="M6"/>
  <c r="K6"/>
  <c r="I6"/>
  <c r="G6"/>
  <c r="F6"/>
  <c r="M5"/>
  <c r="K5"/>
  <c r="I5"/>
  <c r="G5"/>
  <c r="F5"/>
  <c r="M4"/>
  <c r="K4"/>
  <c r="I4"/>
  <c r="G4"/>
  <c r="F4"/>
  <c r="M3"/>
  <c r="K3"/>
  <c r="I3"/>
  <c r="G3"/>
  <c r="F3"/>
  <c r="M2"/>
  <c r="M68" s="1"/>
  <c r="K2"/>
  <c r="I2"/>
  <c r="G2"/>
  <c r="F2"/>
  <c r="L3" i="16"/>
  <c r="L4"/>
  <c r="L68" s="1"/>
  <c r="L5"/>
  <c r="L6"/>
  <c r="L7"/>
  <c r="L8"/>
  <c r="M8" s="1"/>
  <c r="L9"/>
  <c r="L10"/>
  <c r="L11"/>
  <c r="L12"/>
  <c r="M12" s="1"/>
  <c r="L13"/>
  <c r="L14"/>
  <c r="L15"/>
  <c r="L16"/>
  <c r="M16" s="1"/>
  <c r="L17"/>
  <c r="L18"/>
  <c r="L19"/>
  <c r="L20"/>
  <c r="M20" s="1"/>
  <c r="L21"/>
  <c r="L22"/>
  <c r="L23"/>
  <c r="L24"/>
  <c r="M24" s="1"/>
  <c r="L25"/>
  <c r="L26"/>
  <c r="L27"/>
  <c r="L28"/>
  <c r="M28" s="1"/>
  <c r="L29"/>
  <c r="L30"/>
  <c r="L31"/>
  <c r="L32"/>
  <c r="M32" s="1"/>
  <c r="L33"/>
  <c r="L34"/>
  <c r="L35"/>
  <c r="L36"/>
  <c r="M36" s="1"/>
  <c r="L37"/>
  <c r="L38"/>
  <c r="L39"/>
  <c r="L40"/>
  <c r="M40" s="1"/>
  <c r="L41"/>
  <c r="L42"/>
  <c r="L43"/>
  <c r="L44"/>
  <c r="M44" s="1"/>
  <c r="L45"/>
  <c r="L46"/>
  <c r="L47"/>
  <c r="L48"/>
  <c r="M48" s="1"/>
  <c r="L49"/>
  <c r="L50"/>
  <c r="L51"/>
  <c r="L52"/>
  <c r="M52" s="1"/>
  <c r="L53"/>
  <c r="L54"/>
  <c r="L55"/>
  <c r="L56"/>
  <c r="M56" s="1"/>
  <c r="L57"/>
  <c r="L58"/>
  <c r="L59"/>
  <c r="L60"/>
  <c r="M60" s="1"/>
  <c r="L61"/>
  <c r="L62"/>
  <c r="L63"/>
  <c r="L64"/>
  <c r="M64" s="1"/>
  <c r="L65"/>
  <c r="L66"/>
  <c r="L67"/>
  <c r="L2"/>
  <c r="I27"/>
  <c r="M27"/>
  <c r="I27" i="17"/>
  <c r="I28"/>
  <c r="M27"/>
  <c r="K27"/>
  <c r="K28"/>
  <c r="G27"/>
  <c r="G28"/>
  <c r="F27"/>
  <c r="F28"/>
  <c r="F27" i="16"/>
  <c r="F28"/>
  <c r="F29"/>
  <c r="G27"/>
  <c r="G28"/>
  <c r="K27"/>
  <c r="J68" i="17"/>
  <c r="E68"/>
  <c r="D68"/>
  <c r="M67"/>
  <c r="K67"/>
  <c r="I67"/>
  <c r="G67"/>
  <c r="F67"/>
  <c r="M66"/>
  <c r="K66"/>
  <c r="I66"/>
  <c r="G66"/>
  <c r="F66"/>
  <c r="K65"/>
  <c r="I65"/>
  <c r="G65"/>
  <c r="F65"/>
  <c r="K64"/>
  <c r="I64"/>
  <c r="G64"/>
  <c r="F64"/>
  <c r="M63"/>
  <c r="K63"/>
  <c r="I63"/>
  <c r="G63"/>
  <c r="F63"/>
  <c r="M62"/>
  <c r="K62"/>
  <c r="I62"/>
  <c r="G62"/>
  <c r="F62"/>
  <c r="K61"/>
  <c r="I61"/>
  <c r="G61"/>
  <c r="F61"/>
  <c r="K60"/>
  <c r="I60"/>
  <c r="G60"/>
  <c r="F60"/>
  <c r="M59"/>
  <c r="K59"/>
  <c r="I59"/>
  <c r="G59"/>
  <c r="F59"/>
  <c r="M58"/>
  <c r="K58"/>
  <c r="I58"/>
  <c r="G58"/>
  <c r="F58"/>
  <c r="K57"/>
  <c r="I57"/>
  <c r="G57"/>
  <c r="F57"/>
  <c r="K56"/>
  <c r="I56"/>
  <c r="G56"/>
  <c r="F56"/>
  <c r="M55"/>
  <c r="K55"/>
  <c r="I55"/>
  <c r="G55"/>
  <c r="F55"/>
  <c r="M54"/>
  <c r="K54"/>
  <c r="I54"/>
  <c r="G54"/>
  <c r="F54"/>
  <c r="K53"/>
  <c r="I53"/>
  <c r="G53"/>
  <c r="F53"/>
  <c r="K52"/>
  <c r="I52"/>
  <c r="G52"/>
  <c r="F52"/>
  <c r="M51"/>
  <c r="K51"/>
  <c r="I51"/>
  <c r="G51"/>
  <c r="F51"/>
  <c r="M50"/>
  <c r="K50"/>
  <c r="I50"/>
  <c r="G50"/>
  <c r="F50"/>
  <c r="K49"/>
  <c r="I49"/>
  <c r="G49"/>
  <c r="F49"/>
  <c r="K48"/>
  <c r="I48"/>
  <c r="G48"/>
  <c r="F48"/>
  <c r="M47"/>
  <c r="K47"/>
  <c r="I47"/>
  <c r="G47"/>
  <c r="F47"/>
  <c r="M46"/>
  <c r="K46"/>
  <c r="I46"/>
  <c r="G46"/>
  <c r="F46"/>
  <c r="K45"/>
  <c r="I45"/>
  <c r="G45"/>
  <c r="F45"/>
  <c r="K44"/>
  <c r="I44"/>
  <c r="G44"/>
  <c r="F44"/>
  <c r="M43"/>
  <c r="K43"/>
  <c r="I43"/>
  <c r="G43"/>
  <c r="F43"/>
  <c r="M42"/>
  <c r="K42"/>
  <c r="I42"/>
  <c r="G42"/>
  <c r="F42"/>
  <c r="K41"/>
  <c r="I41"/>
  <c r="G41"/>
  <c r="F41"/>
  <c r="K40"/>
  <c r="I40"/>
  <c r="G40"/>
  <c r="F40"/>
  <c r="M39"/>
  <c r="K39"/>
  <c r="I39"/>
  <c r="G39"/>
  <c r="F39"/>
  <c r="M38"/>
  <c r="K38"/>
  <c r="I38"/>
  <c r="G38"/>
  <c r="F38"/>
  <c r="K37"/>
  <c r="I37"/>
  <c r="G37"/>
  <c r="F37"/>
  <c r="K36"/>
  <c r="I36"/>
  <c r="G36"/>
  <c r="F36"/>
  <c r="M35"/>
  <c r="K35"/>
  <c r="I35"/>
  <c r="G35"/>
  <c r="F35"/>
  <c r="M34"/>
  <c r="K34"/>
  <c r="I34"/>
  <c r="G34"/>
  <c r="F34"/>
  <c r="K33"/>
  <c r="I33"/>
  <c r="G33"/>
  <c r="F33"/>
  <c r="K32"/>
  <c r="I32"/>
  <c r="G32"/>
  <c r="F32"/>
  <c r="M31"/>
  <c r="K31"/>
  <c r="I31"/>
  <c r="G31"/>
  <c r="F31"/>
  <c r="M30"/>
  <c r="K30"/>
  <c r="I30"/>
  <c r="G30"/>
  <c r="F30"/>
  <c r="K29"/>
  <c r="I29"/>
  <c r="G29"/>
  <c r="F29"/>
  <c r="M26"/>
  <c r="K26"/>
  <c r="I26"/>
  <c r="G26"/>
  <c r="F26"/>
  <c r="K25"/>
  <c r="I25"/>
  <c r="G25"/>
  <c r="F25"/>
  <c r="K24"/>
  <c r="I24"/>
  <c r="G24"/>
  <c r="F24"/>
  <c r="M23"/>
  <c r="K23"/>
  <c r="I23"/>
  <c r="G23"/>
  <c r="F23"/>
  <c r="M22"/>
  <c r="K22"/>
  <c r="I22"/>
  <c r="G22"/>
  <c r="F22"/>
  <c r="K21"/>
  <c r="I21"/>
  <c r="G21"/>
  <c r="F21"/>
  <c r="K20"/>
  <c r="I20"/>
  <c r="G20"/>
  <c r="F20"/>
  <c r="M19"/>
  <c r="K19"/>
  <c r="I19"/>
  <c r="G19"/>
  <c r="F19"/>
  <c r="M18"/>
  <c r="K18"/>
  <c r="I18"/>
  <c r="G18"/>
  <c r="F18"/>
  <c r="M17"/>
  <c r="K17"/>
  <c r="I17"/>
  <c r="G17"/>
  <c r="F17"/>
  <c r="K16"/>
  <c r="I16"/>
  <c r="G16"/>
  <c r="F16"/>
  <c r="M15"/>
  <c r="K15"/>
  <c r="I15"/>
  <c r="G15"/>
  <c r="F15"/>
  <c r="M14"/>
  <c r="K14"/>
  <c r="I14"/>
  <c r="G14"/>
  <c r="F14"/>
  <c r="M13"/>
  <c r="K13"/>
  <c r="I13"/>
  <c r="G13"/>
  <c r="F13"/>
  <c r="K12"/>
  <c r="I12"/>
  <c r="G12"/>
  <c r="F12"/>
  <c r="M11"/>
  <c r="K11"/>
  <c r="I11"/>
  <c r="G11"/>
  <c r="F11"/>
  <c r="M10"/>
  <c r="K10"/>
  <c r="I10"/>
  <c r="G10"/>
  <c r="F10"/>
  <c r="K9"/>
  <c r="I9"/>
  <c r="G9"/>
  <c r="F9"/>
  <c r="K8"/>
  <c r="I8"/>
  <c r="G8"/>
  <c r="F8"/>
  <c r="M7"/>
  <c r="K7"/>
  <c r="I7"/>
  <c r="G7"/>
  <c r="F7"/>
  <c r="M6"/>
  <c r="K6"/>
  <c r="I6"/>
  <c r="G6"/>
  <c r="F6"/>
  <c r="K5"/>
  <c r="I5"/>
  <c r="G5"/>
  <c r="F5"/>
  <c r="K4"/>
  <c r="I4"/>
  <c r="G4"/>
  <c r="F4"/>
  <c r="M3"/>
  <c r="K3"/>
  <c r="I3"/>
  <c r="G3"/>
  <c r="F3"/>
  <c r="M2"/>
  <c r="K2"/>
  <c r="I2"/>
  <c r="G2"/>
  <c r="F2"/>
  <c r="L3" i="15"/>
  <c r="L4"/>
  <c r="M4" s="1"/>
  <c r="L5"/>
  <c r="M5" s="1"/>
  <c r="L6"/>
  <c r="M6" s="1"/>
  <c r="L7"/>
  <c r="L8"/>
  <c r="M8" s="1"/>
  <c r="L9"/>
  <c r="M9" s="1"/>
  <c r="L10"/>
  <c r="L11"/>
  <c r="L12"/>
  <c r="M12" s="1"/>
  <c r="L13"/>
  <c r="M13" s="1"/>
  <c r="L14"/>
  <c r="M14" s="1"/>
  <c r="L15"/>
  <c r="L16"/>
  <c r="M16" s="1"/>
  <c r="L17"/>
  <c r="M17" s="1"/>
  <c r="L18"/>
  <c r="L19"/>
  <c r="L20"/>
  <c r="M20" s="1"/>
  <c r="L21"/>
  <c r="M21" s="1"/>
  <c r="L22"/>
  <c r="M22" s="1"/>
  <c r="L23"/>
  <c r="L24"/>
  <c r="M24" s="1"/>
  <c r="L25"/>
  <c r="M25" s="1"/>
  <c r="L26"/>
  <c r="L27"/>
  <c r="L28"/>
  <c r="M28" s="1"/>
  <c r="L29"/>
  <c r="M29" s="1"/>
  <c r="L30"/>
  <c r="M30" s="1"/>
  <c r="L31"/>
  <c r="L32"/>
  <c r="M32" s="1"/>
  <c r="L33"/>
  <c r="M33" s="1"/>
  <c r="L34"/>
  <c r="L35"/>
  <c r="L36"/>
  <c r="M36" s="1"/>
  <c r="L37"/>
  <c r="M37" s="1"/>
  <c r="L38"/>
  <c r="M38" s="1"/>
  <c r="L39"/>
  <c r="L40"/>
  <c r="M40" s="1"/>
  <c r="L41"/>
  <c r="M41" s="1"/>
  <c r="L42"/>
  <c r="L43"/>
  <c r="L44"/>
  <c r="M44" s="1"/>
  <c r="L45"/>
  <c r="M45" s="1"/>
  <c r="L46"/>
  <c r="M46" s="1"/>
  <c r="L47"/>
  <c r="L48"/>
  <c r="M48" s="1"/>
  <c r="L49"/>
  <c r="M49" s="1"/>
  <c r="L50"/>
  <c r="L51"/>
  <c r="L52"/>
  <c r="M52" s="1"/>
  <c r="L53"/>
  <c r="M53" s="1"/>
  <c r="L54"/>
  <c r="M54" s="1"/>
  <c r="L55"/>
  <c r="L56"/>
  <c r="M56" s="1"/>
  <c r="L57"/>
  <c r="M57" s="1"/>
  <c r="L58"/>
  <c r="L59"/>
  <c r="L60"/>
  <c r="M60" s="1"/>
  <c r="L61"/>
  <c r="M61" s="1"/>
  <c r="L62"/>
  <c r="M62" s="1"/>
  <c r="L63"/>
  <c r="L64"/>
  <c r="M64" s="1"/>
  <c r="L65"/>
  <c r="M65" s="1"/>
  <c r="L66"/>
  <c r="L2"/>
  <c r="J68" i="16"/>
  <c r="E68"/>
  <c r="D68"/>
  <c r="M67"/>
  <c r="K67"/>
  <c r="I67"/>
  <c r="G67"/>
  <c r="F67"/>
  <c r="M66"/>
  <c r="K66"/>
  <c r="I66"/>
  <c r="G66"/>
  <c r="F66"/>
  <c r="M65"/>
  <c r="K65"/>
  <c r="I65"/>
  <c r="G65"/>
  <c r="F65"/>
  <c r="K64"/>
  <c r="I64"/>
  <c r="G64"/>
  <c r="F64"/>
  <c r="M63"/>
  <c r="K63"/>
  <c r="I63"/>
  <c r="G63"/>
  <c r="F63"/>
  <c r="M62"/>
  <c r="K62"/>
  <c r="I62"/>
  <c r="G62"/>
  <c r="F62"/>
  <c r="M61"/>
  <c r="K61"/>
  <c r="I61"/>
  <c r="G61"/>
  <c r="F61"/>
  <c r="K60"/>
  <c r="I60"/>
  <c r="G60"/>
  <c r="F60"/>
  <c r="M59"/>
  <c r="K59"/>
  <c r="I59"/>
  <c r="G59"/>
  <c r="F59"/>
  <c r="M58"/>
  <c r="K58"/>
  <c r="I58"/>
  <c r="G58"/>
  <c r="F58"/>
  <c r="M57"/>
  <c r="K57"/>
  <c r="I57"/>
  <c r="G57"/>
  <c r="F57"/>
  <c r="K56"/>
  <c r="I56"/>
  <c r="G56"/>
  <c r="F56"/>
  <c r="M55"/>
  <c r="K55"/>
  <c r="I55"/>
  <c r="G55"/>
  <c r="F55"/>
  <c r="M54"/>
  <c r="K54"/>
  <c r="I54"/>
  <c r="G54"/>
  <c r="F54"/>
  <c r="M53"/>
  <c r="K53"/>
  <c r="I53"/>
  <c r="G53"/>
  <c r="F53"/>
  <c r="K52"/>
  <c r="I52"/>
  <c r="G52"/>
  <c r="F52"/>
  <c r="M51"/>
  <c r="K51"/>
  <c r="I51"/>
  <c r="G51"/>
  <c r="F51"/>
  <c r="M50"/>
  <c r="K50"/>
  <c r="I50"/>
  <c r="G50"/>
  <c r="F50"/>
  <c r="M49"/>
  <c r="K49"/>
  <c r="I49"/>
  <c r="G49"/>
  <c r="F49"/>
  <c r="K48"/>
  <c r="I48"/>
  <c r="G48"/>
  <c r="F48"/>
  <c r="M47"/>
  <c r="K47"/>
  <c r="I47"/>
  <c r="G47"/>
  <c r="F47"/>
  <c r="M46"/>
  <c r="K46"/>
  <c r="I46"/>
  <c r="G46"/>
  <c r="F46"/>
  <c r="M45"/>
  <c r="K45"/>
  <c r="I45"/>
  <c r="G45"/>
  <c r="F45"/>
  <c r="K44"/>
  <c r="I44"/>
  <c r="G44"/>
  <c r="F44"/>
  <c r="M43"/>
  <c r="K43"/>
  <c r="I43"/>
  <c r="G43"/>
  <c r="F43"/>
  <c r="M42"/>
  <c r="K42"/>
  <c r="I42"/>
  <c r="G42"/>
  <c r="F42"/>
  <c r="M41"/>
  <c r="K41"/>
  <c r="I41"/>
  <c r="G41"/>
  <c r="F41"/>
  <c r="K40"/>
  <c r="I40"/>
  <c r="G40"/>
  <c r="F40"/>
  <c r="M39"/>
  <c r="K39"/>
  <c r="I39"/>
  <c r="G39"/>
  <c r="F39"/>
  <c r="M38"/>
  <c r="K38"/>
  <c r="I38"/>
  <c r="G38"/>
  <c r="F38"/>
  <c r="M37"/>
  <c r="K37"/>
  <c r="I37"/>
  <c r="G37"/>
  <c r="F37"/>
  <c r="K36"/>
  <c r="I36"/>
  <c r="G36"/>
  <c r="F36"/>
  <c r="M35"/>
  <c r="K35"/>
  <c r="I35"/>
  <c r="G35"/>
  <c r="F35"/>
  <c r="M34"/>
  <c r="K34"/>
  <c r="I34"/>
  <c r="G34"/>
  <c r="F34"/>
  <c r="M33"/>
  <c r="K33"/>
  <c r="I33"/>
  <c r="G33"/>
  <c r="F33"/>
  <c r="K32"/>
  <c r="I32"/>
  <c r="G32"/>
  <c r="F32"/>
  <c r="M31"/>
  <c r="K31"/>
  <c r="I31"/>
  <c r="G31"/>
  <c r="F31"/>
  <c r="M30"/>
  <c r="K30"/>
  <c r="I30"/>
  <c r="G30"/>
  <c r="F30"/>
  <c r="M29"/>
  <c r="K29"/>
  <c r="I29"/>
  <c r="G29"/>
  <c r="K28"/>
  <c r="I28"/>
  <c r="M26"/>
  <c r="K26"/>
  <c r="I26"/>
  <c r="G26"/>
  <c r="F26"/>
  <c r="M25"/>
  <c r="K25"/>
  <c r="I25"/>
  <c r="G25"/>
  <c r="F25"/>
  <c r="K24"/>
  <c r="I24"/>
  <c r="G24"/>
  <c r="F24"/>
  <c r="M23"/>
  <c r="K23"/>
  <c r="I23"/>
  <c r="G23"/>
  <c r="F23"/>
  <c r="M22"/>
  <c r="K22"/>
  <c r="I22"/>
  <c r="G22"/>
  <c r="F22"/>
  <c r="M21"/>
  <c r="K21"/>
  <c r="I21"/>
  <c r="G21"/>
  <c r="F21"/>
  <c r="K20"/>
  <c r="I20"/>
  <c r="G20"/>
  <c r="F20"/>
  <c r="M19"/>
  <c r="K19"/>
  <c r="I19"/>
  <c r="G19"/>
  <c r="F19"/>
  <c r="M18"/>
  <c r="K18"/>
  <c r="I18"/>
  <c r="G18"/>
  <c r="F18"/>
  <c r="M17"/>
  <c r="K17"/>
  <c r="I17"/>
  <c r="G17"/>
  <c r="F17"/>
  <c r="K16"/>
  <c r="I16"/>
  <c r="G16"/>
  <c r="F16"/>
  <c r="M15"/>
  <c r="K15"/>
  <c r="I15"/>
  <c r="G15"/>
  <c r="F15"/>
  <c r="M14"/>
  <c r="K14"/>
  <c r="I14"/>
  <c r="G14"/>
  <c r="F14"/>
  <c r="M13"/>
  <c r="K13"/>
  <c r="I13"/>
  <c r="G13"/>
  <c r="F13"/>
  <c r="K12"/>
  <c r="I12"/>
  <c r="G12"/>
  <c r="F12"/>
  <c r="M11"/>
  <c r="K11"/>
  <c r="I11"/>
  <c r="G11"/>
  <c r="F11"/>
  <c r="M10"/>
  <c r="K10"/>
  <c r="I10"/>
  <c r="G10"/>
  <c r="F10"/>
  <c r="M9"/>
  <c r="K9"/>
  <c r="I9"/>
  <c r="G9"/>
  <c r="F9"/>
  <c r="K8"/>
  <c r="I8"/>
  <c r="G8"/>
  <c r="F8"/>
  <c r="M7"/>
  <c r="K7"/>
  <c r="I7"/>
  <c r="G7"/>
  <c r="F7"/>
  <c r="M6"/>
  <c r="K6"/>
  <c r="I6"/>
  <c r="G6"/>
  <c r="F6"/>
  <c r="M5"/>
  <c r="K5"/>
  <c r="I5"/>
  <c r="G5"/>
  <c r="F5"/>
  <c r="K4"/>
  <c r="I4"/>
  <c r="G4"/>
  <c r="F4"/>
  <c r="M3"/>
  <c r="K3"/>
  <c r="I3"/>
  <c r="G3"/>
  <c r="F3"/>
  <c r="M2"/>
  <c r="K2"/>
  <c r="I2"/>
  <c r="G2"/>
  <c r="F2"/>
  <c r="L3" i="14"/>
  <c r="L4"/>
  <c r="L67" s="1"/>
  <c r="L5"/>
  <c r="M5" s="1"/>
  <c r="L6"/>
  <c r="L7"/>
  <c r="L8"/>
  <c r="L9"/>
  <c r="M9" s="1"/>
  <c r="L10"/>
  <c r="L11"/>
  <c r="L12"/>
  <c r="L13"/>
  <c r="M13" s="1"/>
  <c r="L14"/>
  <c r="L15"/>
  <c r="L16"/>
  <c r="L17"/>
  <c r="M17" s="1"/>
  <c r="L18"/>
  <c r="L19"/>
  <c r="L20"/>
  <c r="L21"/>
  <c r="M21" s="1"/>
  <c r="L22"/>
  <c r="L23"/>
  <c r="L24"/>
  <c r="L25"/>
  <c r="M25" s="1"/>
  <c r="L26"/>
  <c r="L27"/>
  <c r="L28"/>
  <c r="L29"/>
  <c r="M29" s="1"/>
  <c r="L30"/>
  <c r="L31"/>
  <c r="L32"/>
  <c r="L33"/>
  <c r="M33" s="1"/>
  <c r="L34"/>
  <c r="L35"/>
  <c r="L36"/>
  <c r="L37"/>
  <c r="M37" s="1"/>
  <c r="L38"/>
  <c r="L39"/>
  <c r="L40"/>
  <c r="L41"/>
  <c r="M41" s="1"/>
  <c r="L42"/>
  <c r="L43"/>
  <c r="L44"/>
  <c r="L45"/>
  <c r="M45" s="1"/>
  <c r="L46"/>
  <c r="L47"/>
  <c r="L48"/>
  <c r="L49"/>
  <c r="M49" s="1"/>
  <c r="L50"/>
  <c r="L51"/>
  <c r="L52"/>
  <c r="L53"/>
  <c r="M53" s="1"/>
  <c r="L54"/>
  <c r="L55"/>
  <c r="L56"/>
  <c r="L57"/>
  <c r="M57" s="1"/>
  <c r="L58"/>
  <c r="L59"/>
  <c r="L60"/>
  <c r="L61"/>
  <c r="M61" s="1"/>
  <c r="L62"/>
  <c r="L63"/>
  <c r="L64"/>
  <c r="L65"/>
  <c r="M65" s="1"/>
  <c r="L66"/>
  <c r="L2"/>
  <c r="J67" i="15"/>
  <c r="E67"/>
  <c r="D67"/>
  <c r="M66"/>
  <c r="K66"/>
  <c r="I66"/>
  <c r="G66"/>
  <c r="F66"/>
  <c r="K65"/>
  <c r="I65"/>
  <c r="G65"/>
  <c r="F65"/>
  <c r="K64"/>
  <c r="I64"/>
  <c r="G64"/>
  <c r="F64"/>
  <c r="M63"/>
  <c r="K63"/>
  <c r="I63"/>
  <c r="G63"/>
  <c r="F63"/>
  <c r="K62"/>
  <c r="I62"/>
  <c r="G62"/>
  <c r="F62"/>
  <c r="K61"/>
  <c r="I61"/>
  <c r="G61"/>
  <c r="F61"/>
  <c r="K60"/>
  <c r="I60"/>
  <c r="G60"/>
  <c r="F60"/>
  <c r="M59"/>
  <c r="K59"/>
  <c r="I59"/>
  <c r="G59"/>
  <c r="F59"/>
  <c r="M58"/>
  <c r="K58"/>
  <c r="I58"/>
  <c r="G58"/>
  <c r="F58"/>
  <c r="K57"/>
  <c r="I57"/>
  <c r="G57"/>
  <c r="F57"/>
  <c r="K56"/>
  <c r="I56"/>
  <c r="G56"/>
  <c r="F56"/>
  <c r="M55"/>
  <c r="K55"/>
  <c r="I55"/>
  <c r="G55"/>
  <c r="F55"/>
  <c r="K54"/>
  <c r="I54"/>
  <c r="G54"/>
  <c r="F54"/>
  <c r="K53"/>
  <c r="I53"/>
  <c r="G53"/>
  <c r="F53"/>
  <c r="K52"/>
  <c r="I52"/>
  <c r="G52"/>
  <c r="F52"/>
  <c r="M51"/>
  <c r="K51"/>
  <c r="I51"/>
  <c r="G51"/>
  <c r="F51"/>
  <c r="M50"/>
  <c r="K50"/>
  <c r="I50"/>
  <c r="G50"/>
  <c r="F50"/>
  <c r="K49"/>
  <c r="I49"/>
  <c r="G49"/>
  <c r="F49"/>
  <c r="K48"/>
  <c r="I48"/>
  <c r="G48"/>
  <c r="F48"/>
  <c r="M47"/>
  <c r="K47"/>
  <c r="I47"/>
  <c r="G47"/>
  <c r="F47"/>
  <c r="K46"/>
  <c r="I46"/>
  <c r="G46"/>
  <c r="F46"/>
  <c r="K45"/>
  <c r="I45"/>
  <c r="G45"/>
  <c r="F45"/>
  <c r="K44"/>
  <c r="I44"/>
  <c r="G44"/>
  <c r="F44"/>
  <c r="M43"/>
  <c r="K43"/>
  <c r="I43"/>
  <c r="G43"/>
  <c r="F43"/>
  <c r="M42"/>
  <c r="K42"/>
  <c r="I42"/>
  <c r="G42"/>
  <c r="F42"/>
  <c r="K41"/>
  <c r="I41"/>
  <c r="G41"/>
  <c r="F41"/>
  <c r="K40"/>
  <c r="I40"/>
  <c r="G40"/>
  <c r="F40"/>
  <c r="M39"/>
  <c r="K39"/>
  <c r="I39"/>
  <c r="G39"/>
  <c r="F39"/>
  <c r="K38"/>
  <c r="I38"/>
  <c r="G38"/>
  <c r="F38"/>
  <c r="K37"/>
  <c r="I37"/>
  <c r="G37"/>
  <c r="F37"/>
  <c r="K36"/>
  <c r="I36"/>
  <c r="G36"/>
  <c r="F36"/>
  <c r="M35"/>
  <c r="K35"/>
  <c r="I35"/>
  <c r="G35"/>
  <c r="F35"/>
  <c r="M34"/>
  <c r="K34"/>
  <c r="I34"/>
  <c r="G34"/>
  <c r="F34"/>
  <c r="K33"/>
  <c r="I33"/>
  <c r="G33"/>
  <c r="F33"/>
  <c r="K32"/>
  <c r="I32"/>
  <c r="G32"/>
  <c r="F32"/>
  <c r="M31"/>
  <c r="K31"/>
  <c r="I31"/>
  <c r="G31"/>
  <c r="F31"/>
  <c r="K30"/>
  <c r="I30"/>
  <c r="G30"/>
  <c r="F30"/>
  <c r="K29"/>
  <c r="I29"/>
  <c r="G29"/>
  <c r="F29"/>
  <c r="K28"/>
  <c r="I28"/>
  <c r="G28"/>
  <c r="F28"/>
  <c r="M27"/>
  <c r="K27"/>
  <c r="I27"/>
  <c r="G27"/>
  <c r="F27"/>
  <c r="M26"/>
  <c r="K26"/>
  <c r="I26"/>
  <c r="G26"/>
  <c r="F26"/>
  <c r="K25"/>
  <c r="I25"/>
  <c r="G25"/>
  <c r="F25"/>
  <c r="K24"/>
  <c r="I24"/>
  <c r="G24"/>
  <c r="F24"/>
  <c r="M23"/>
  <c r="K23"/>
  <c r="I23"/>
  <c r="G23"/>
  <c r="F23"/>
  <c r="K22"/>
  <c r="I22"/>
  <c r="G22"/>
  <c r="F22"/>
  <c r="K21"/>
  <c r="I21"/>
  <c r="G21"/>
  <c r="F21"/>
  <c r="K20"/>
  <c r="I20"/>
  <c r="G20"/>
  <c r="F20"/>
  <c r="M19"/>
  <c r="K19"/>
  <c r="I19"/>
  <c r="G19"/>
  <c r="F19"/>
  <c r="M18"/>
  <c r="K18"/>
  <c r="I18"/>
  <c r="G18"/>
  <c r="F18"/>
  <c r="K17"/>
  <c r="I17"/>
  <c r="G17"/>
  <c r="F17"/>
  <c r="K16"/>
  <c r="I16"/>
  <c r="G16"/>
  <c r="F16"/>
  <c r="M15"/>
  <c r="K15"/>
  <c r="I15"/>
  <c r="G15"/>
  <c r="F15"/>
  <c r="K14"/>
  <c r="I14"/>
  <c r="G14"/>
  <c r="F14"/>
  <c r="K13"/>
  <c r="I13"/>
  <c r="G13"/>
  <c r="F13"/>
  <c r="K12"/>
  <c r="I12"/>
  <c r="G12"/>
  <c r="F12"/>
  <c r="M11"/>
  <c r="K11"/>
  <c r="I11"/>
  <c r="G11"/>
  <c r="F11"/>
  <c r="M10"/>
  <c r="K10"/>
  <c r="I10"/>
  <c r="G10"/>
  <c r="F10"/>
  <c r="K9"/>
  <c r="I9"/>
  <c r="G9"/>
  <c r="F9"/>
  <c r="K8"/>
  <c r="I8"/>
  <c r="G8"/>
  <c r="F8"/>
  <c r="M7"/>
  <c r="K7"/>
  <c r="I7"/>
  <c r="G7"/>
  <c r="F7"/>
  <c r="K6"/>
  <c r="I6"/>
  <c r="G6"/>
  <c r="F6"/>
  <c r="K5"/>
  <c r="I5"/>
  <c r="G5"/>
  <c r="F5"/>
  <c r="K4"/>
  <c r="I4"/>
  <c r="G4"/>
  <c r="F4"/>
  <c r="M3"/>
  <c r="K3"/>
  <c r="I3"/>
  <c r="G3"/>
  <c r="F3"/>
  <c r="K2"/>
  <c r="I2"/>
  <c r="G2"/>
  <c r="F2"/>
  <c r="F67" s="1"/>
  <c r="L3" i="13"/>
  <c r="L4"/>
  <c r="M4" s="1"/>
  <c r="L5"/>
  <c r="M5" s="1"/>
  <c r="L6"/>
  <c r="L7"/>
  <c r="L8"/>
  <c r="M8" s="1"/>
  <c r="L9"/>
  <c r="M9" s="1"/>
  <c r="L10"/>
  <c r="L11"/>
  <c r="L12"/>
  <c r="M12" s="1"/>
  <c r="L13"/>
  <c r="M13" s="1"/>
  <c r="L14"/>
  <c r="L15"/>
  <c r="L16"/>
  <c r="M16" s="1"/>
  <c r="L17"/>
  <c r="M17" s="1"/>
  <c r="L18"/>
  <c r="L19"/>
  <c r="L20"/>
  <c r="M20" s="1"/>
  <c r="L21"/>
  <c r="M21" s="1"/>
  <c r="L22"/>
  <c r="L23"/>
  <c r="L24"/>
  <c r="M24" s="1"/>
  <c r="L25"/>
  <c r="M25" s="1"/>
  <c r="L26"/>
  <c r="L27"/>
  <c r="L28"/>
  <c r="M28" s="1"/>
  <c r="L29"/>
  <c r="M29" s="1"/>
  <c r="L30"/>
  <c r="L31"/>
  <c r="L32"/>
  <c r="M32" s="1"/>
  <c r="L33"/>
  <c r="M33" s="1"/>
  <c r="L34"/>
  <c r="L35"/>
  <c r="L36"/>
  <c r="M36" s="1"/>
  <c r="L37"/>
  <c r="M37" s="1"/>
  <c r="L38"/>
  <c r="L39"/>
  <c r="L40"/>
  <c r="M40" s="1"/>
  <c r="L41"/>
  <c r="M41" s="1"/>
  <c r="L42"/>
  <c r="L43"/>
  <c r="L44"/>
  <c r="M44" s="1"/>
  <c r="L45"/>
  <c r="M45" s="1"/>
  <c r="L46"/>
  <c r="L47"/>
  <c r="L48"/>
  <c r="M48" s="1"/>
  <c r="L49"/>
  <c r="M49" s="1"/>
  <c r="L50"/>
  <c r="L51"/>
  <c r="L52"/>
  <c r="M52" s="1"/>
  <c r="L53"/>
  <c r="M53" s="1"/>
  <c r="L54"/>
  <c r="L55"/>
  <c r="L56"/>
  <c r="M56" s="1"/>
  <c r="L57"/>
  <c r="M57" s="1"/>
  <c r="L58"/>
  <c r="L59"/>
  <c r="L60"/>
  <c r="M60" s="1"/>
  <c r="L61"/>
  <c r="M61" s="1"/>
  <c r="L62"/>
  <c r="L63"/>
  <c r="L64"/>
  <c r="M64" s="1"/>
  <c r="L65"/>
  <c r="M65" s="1"/>
  <c r="L66"/>
  <c r="L2"/>
  <c r="J67" i="14"/>
  <c r="E67"/>
  <c r="D67"/>
  <c r="M66"/>
  <c r="K66"/>
  <c r="I66"/>
  <c r="G66"/>
  <c r="F66"/>
  <c r="K65"/>
  <c r="I65"/>
  <c r="G65"/>
  <c r="F65"/>
  <c r="M64"/>
  <c r="K64"/>
  <c r="I64"/>
  <c r="G64"/>
  <c r="F64"/>
  <c r="M63"/>
  <c r="K63"/>
  <c r="I63"/>
  <c r="G63"/>
  <c r="F63"/>
  <c r="M62"/>
  <c r="K62"/>
  <c r="I62"/>
  <c r="G62"/>
  <c r="F62"/>
  <c r="K61"/>
  <c r="I61"/>
  <c r="G61"/>
  <c r="F61"/>
  <c r="M60"/>
  <c r="K60"/>
  <c r="I60"/>
  <c r="G60"/>
  <c r="F60"/>
  <c r="M59"/>
  <c r="K59"/>
  <c r="I59"/>
  <c r="G59"/>
  <c r="F59"/>
  <c r="M58"/>
  <c r="K58"/>
  <c r="I58"/>
  <c r="G58"/>
  <c r="F58"/>
  <c r="K57"/>
  <c r="I57"/>
  <c r="G57"/>
  <c r="F57"/>
  <c r="M56"/>
  <c r="K56"/>
  <c r="I56"/>
  <c r="G56"/>
  <c r="F56"/>
  <c r="M55"/>
  <c r="K55"/>
  <c r="I55"/>
  <c r="G55"/>
  <c r="F55"/>
  <c r="M54"/>
  <c r="K54"/>
  <c r="I54"/>
  <c r="G54"/>
  <c r="F54"/>
  <c r="K53"/>
  <c r="I53"/>
  <c r="G53"/>
  <c r="F53"/>
  <c r="M52"/>
  <c r="K52"/>
  <c r="I52"/>
  <c r="G52"/>
  <c r="F52"/>
  <c r="M51"/>
  <c r="K51"/>
  <c r="I51"/>
  <c r="G51"/>
  <c r="F51"/>
  <c r="M50"/>
  <c r="K50"/>
  <c r="I50"/>
  <c r="G50"/>
  <c r="F50"/>
  <c r="K49"/>
  <c r="I49"/>
  <c r="G49"/>
  <c r="F49"/>
  <c r="M48"/>
  <c r="K48"/>
  <c r="I48"/>
  <c r="G48"/>
  <c r="F48"/>
  <c r="M47"/>
  <c r="K47"/>
  <c r="I47"/>
  <c r="G47"/>
  <c r="F47"/>
  <c r="M46"/>
  <c r="K46"/>
  <c r="I46"/>
  <c r="G46"/>
  <c r="F46"/>
  <c r="K45"/>
  <c r="I45"/>
  <c r="G45"/>
  <c r="F45"/>
  <c r="M44"/>
  <c r="K44"/>
  <c r="I44"/>
  <c r="G44"/>
  <c r="F44"/>
  <c r="M43"/>
  <c r="K43"/>
  <c r="I43"/>
  <c r="G43"/>
  <c r="F43"/>
  <c r="M42"/>
  <c r="K42"/>
  <c r="I42"/>
  <c r="G42"/>
  <c r="F42"/>
  <c r="K41"/>
  <c r="I41"/>
  <c r="G41"/>
  <c r="F41"/>
  <c r="M40"/>
  <c r="K40"/>
  <c r="I40"/>
  <c r="G40"/>
  <c r="F40"/>
  <c r="M39"/>
  <c r="K39"/>
  <c r="I39"/>
  <c r="G39"/>
  <c r="F39"/>
  <c r="M38"/>
  <c r="K38"/>
  <c r="I38"/>
  <c r="G38"/>
  <c r="F38"/>
  <c r="K37"/>
  <c r="I37"/>
  <c r="G37"/>
  <c r="F37"/>
  <c r="M36"/>
  <c r="K36"/>
  <c r="I36"/>
  <c r="G36"/>
  <c r="F36"/>
  <c r="M35"/>
  <c r="K35"/>
  <c r="I35"/>
  <c r="G35"/>
  <c r="F35"/>
  <c r="M34"/>
  <c r="K34"/>
  <c r="I34"/>
  <c r="G34"/>
  <c r="F34"/>
  <c r="K33"/>
  <c r="I33"/>
  <c r="G33"/>
  <c r="F33"/>
  <c r="M32"/>
  <c r="K32"/>
  <c r="I32"/>
  <c r="G32"/>
  <c r="F32"/>
  <c r="M31"/>
  <c r="K31"/>
  <c r="I31"/>
  <c r="G31"/>
  <c r="F31"/>
  <c r="M30"/>
  <c r="K30"/>
  <c r="I30"/>
  <c r="G30"/>
  <c r="F30"/>
  <c r="K29"/>
  <c r="I29"/>
  <c r="G29"/>
  <c r="F29"/>
  <c r="M28"/>
  <c r="K28"/>
  <c r="I28"/>
  <c r="G28"/>
  <c r="F28"/>
  <c r="M27"/>
  <c r="K27"/>
  <c r="I27"/>
  <c r="G27"/>
  <c r="F27"/>
  <c r="M26"/>
  <c r="K26"/>
  <c r="I26"/>
  <c r="G26"/>
  <c r="F26"/>
  <c r="K25"/>
  <c r="I25"/>
  <c r="G25"/>
  <c r="F25"/>
  <c r="M24"/>
  <c r="K24"/>
  <c r="I24"/>
  <c r="G24"/>
  <c r="F24"/>
  <c r="M23"/>
  <c r="K23"/>
  <c r="I23"/>
  <c r="G23"/>
  <c r="F23"/>
  <c r="M22"/>
  <c r="K22"/>
  <c r="I22"/>
  <c r="G22"/>
  <c r="F22"/>
  <c r="K21"/>
  <c r="I21"/>
  <c r="G21"/>
  <c r="F21"/>
  <c r="M20"/>
  <c r="K20"/>
  <c r="I20"/>
  <c r="G20"/>
  <c r="F20"/>
  <c r="M19"/>
  <c r="K19"/>
  <c r="I19"/>
  <c r="G19"/>
  <c r="F19"/>
  <c r="M18"/>
  <c r="K18"/>
  <c r="I18"/>
  <c r="G18"/>
  <c r="F18"/>
  <c r="K17"/>
  <c r="I17"/>
  <c r="G17"/>
  <c r="F17"/>
  <c r="M16"/>
  <c r="K16"/>
  <c r="I16"/>
  <c r="G16"/>
  <c r="F16"/>
  <c r="M15"/>
  <c r="K15"/>
  <c r="I15"/>
  <c r="G15"/>
  <c r="F15"/>
  <c r="M14"/>
  <c r="K14"/>
  <c r="I14"/>
  <c r="G14"/>
  <c r="F14"/>
  <c r="K13"/>
  <c r="I13"/>
  <c r="G13"/>
  <c r="F13"/>
  <c r="M12"/>
  <c r="K12"/>
  <c r="I12"/>
  <c r="G12"/>
  <c r="F12"/>
  <c r="M11"/>
  <c r="K11"/>
  <c r="I11"/>
  <c r="G11"/>
  <c r="F11"/>
  <c r="M10"/>
  <c r="K10"/>
  <c r="I10"/>
  <c r="G10"/>
  <c r="F10"/>
  <c r="K9"/>
  <c r="I9"/>
  <c r="G9"/>
  <c r="F9"/>
  <c r="M8"/>
  <c r="K8"/>
  <c r="I8"/>
  <c r="G8"/>
  <c r="F8"/>
  <c r="M7"/>
  <c r="K7"/>
  <c r="I7"/>
  <c r="G7"/>
  <c r="F7"/>
  <c r="M6"/>
  <c r="K6"/>
  <c r="I6"/>
  <c r="G6"/>
  <c r="F6"/>
  <c r="K5"/>
  <c r="I5"/>
  <c r="G5"/>
  <c r="F5"/>
  <c r="M4"/>
  <c r="K4"/>
  <c r="I4"/>
  <c r="G4"/>
  <c r="F4"/>
  <c r="M3"/>
  <c r="K3"/>
  <c r="I3"/>
  <c r="G3"/>
  <c r="F3"/>
  <c r="M2"/>
  <c r="K2"/>
  <c r="I2"/>
  <c r="G2"/>
  <c r="F2"/>
  <c r="F67" s="1"/>
  <c r="L2" i="12"/>
  <c r="L67" s="1"/>
  <c r="L3"/>
  <c r="M3" s="1"/>
  <c r="L4"/>
  <c r="L5"/>
  <c r="L6"/>
  <c r="L7"/>
  <c r="M7" s="1"/>
  <c r="L8"/>
  <c r="M8" s="1"/>
  <c r="L9"/>
  <c r="L10"/>
  <c r="L11"/>
  <c r="M11" s="1"/>
  <c r="L12"/>
  <c r="M12" s="1"/>
  <c r="L13"/>
  <c r="L14"/>
  <c r="L15"/>
  <c r="L16"/>
  <c r="L17"/>
  <c r="M17" s="1"/>
  <c r="L18"/>
  <c r="L19"/>
  <c r="M19" s="1"/>
  <c r="L20"/>
  <c r="L21"/>
  <c r="L22"/>
  <c r="L23"/>
  <c r="M23" s="1"/>
  <c r="L24"/>
  <c r="M24" s="1"/>
  <c r="L25"/>
  <c r="L26"/>
  <c r="L27"/>
  <c r="M27" s="1"/>
  <c r="L28"/>
  <c r="M28" s="1"/>
  <c r="L29"/>
  <c r="L30"/>
  <c r="L31"/>
  <c r="L32"/>
  <c r="L33"/>
  <c r="M33" s="1"/>
  <c r="L34"/>
  <c r="L35"/>
  <c r="M35" s="1"/>
  <c r="L36"/>
  <c r="L37"/>
  <c r="L38"/>
  <c r="L39"/>
  <c r="M39" s="1"/>
  <c r="L40"/>
  <c r="M40" s="1"/>
  <c r="L41"/>
  <c r="L42"/>
  <c r="L43"/>
  <c r="M43" s="1"/>
  <c r="L44"/>
  <c r="M44" s="1"/>
  <c r="L45"/>
  <c r="L46"/>
  <c r="L47"/>
  <c r="L48"/>
  <c r="L49"/>
  <c r="M49" s="1"/>
  <c r="L50"/>
  <c r="L51"/>
  <c r="M51" s="1"/>
  <c r="L52"/>
  <c r="L53"/>
  <c r="L54"/>
  <c r="L55"/>
  <c r="M55" s="1"/>
  <c r="L56"/>
  <c r="M56" s="1"/>
  <c r="L57"/>
  <c r="L58"/>
  <c r="L59"/>
  <c r="M59" s="1"/>
  <c r="L60"/>
  <c r="M60" s="1"/>
  <c r="L61"/>
  <c r="L62"/>
  <c r="L63"/>
  <c r="L64"/>
  <c r="L65"/>
  <c r="M65" s="1"/>
  <c r="L66"/>
  <c r="M15"/>
  <c r="M31"/>
  <c r="M47"/>
  <c r="M63"/>
  <c r="J67" i="13"/>
  <c r="E67"/>
  <c r="D67"/>
  <c r="M66"/>
  <c r="K66"/>
  <c r="I66"/>
  <c r="G66"/>
  <c r="F66"/>
  <c r="K65"/>
  <c r="I65"/>
  <c r="G65"/>
  <c r="F65"/>
  <c r="K64"/>
  <c r="I64"/>
  <c r="G64"/>
  <c r="F64"/>
  <c r="M63"/>
  <c r="K63"/>
  <c r="I63"/>
  <c r="G63"/>
  <c r="F63"/>
  <c r="M62"/>
  <c r="K62"/>
  <c r="I62"/>
  <c r="G62"/>
  <c r="F62"/>
  <c r="K61"/>
  <c r="I61"/>
  <c r="G61"/>
  <c r="F61"/>
  <c r="K60"/>
  <c r="I60"/>
  <c r="G60"/>
  <c r="F60"/>
  <c r="M59"/>
  <c r="K59"/>
  <c r="I59"/>
  <c r="G59"/>
  <c r="F59"/>
  <c r="M58"/>
  <c r="K58"/>
  <c r="I58"/>
  <c r="G58"/>
  <c r="F58"/>
  <c r="K57"/>
  <c r="I57"/>
  <c r="G57"/>
  <c r="F57"/>
  <c r="K56"/>
  <c r="I56"/>
  <c r="G56"/>
  <c r="F56"/>
  <c r="M55"/>
  <c r="K55"/>
  <c r="I55"/>
  <c r="G55"/>
  <c r="F55"/>
  <c r="M54"/>
  <c r="K54"/>
  <c r="I54"/>
  <c r="G54"/>
  <c r="F54"/>
  <c r="K53"/>
  <c r="I53"/>
  <c r="G53"/>
  <c r="F53"/>
  <c r="K52"/>
  <c r="I52"/>
  <c r="G52"/>
  <c r="F52"/>
  <c r="M51"/>
  <c r="K51"/>
  <c r="I51"/>
  <c r="G51"/>
  <c r="F51"/>
  <c r="M50"/>
  <c r="K50"/>
  <c r="I50"/>
  <c r="G50"/>
  <c r="F50"/>
  <c r="K49"/>
  <c r="I49"/>
  <c r="G49"/>
  <c r="F49"/>
  <c r="K48"/>
  <c r="I48"/>
  <c r="G48"/>
  <c r="F48"/>
  <c r="M47"/>
  <c r="K47"/>
  <c r="I47"/>
  <c r="G47"/>
  <c r="F47"/>
  <c r="M46"/>
  <c r="K46"/>
  <c r="I46"/>
  <c r="G46"/>
  <c r="F46"/>
  <c r="K45"/>
  <c r="I45"/>
  <c r="G45"/>
  <c r="F45"/>
  <c r="K44"/>
  <c r="I44"/>
  <c r="G44"/>
  <c r="F44"/>
  <c r="M43"/>
  <c r="K43"/>
  <c r="I43"/>
  <c r="G43"/>
  <c r="F43"/>
  <c r="M42"/>
  <c r="K42"/>
  <c r="I42"/>
  <c r="G42"/>
  <c r="F42"/>
  <c r="K41"/>
  <c r="I41"/>
  <c r="G41"/>
  <c r="F41"/>
  <c r="K40"/>
  <c r="I40"/>
  <c r="G40"/>
  <c r="F40"/>
  <c r="M39"/>
  <c r="K39"/>
  <c r="I39"/>
  <c r="G39"/>
  <c r="F39"/>
  <c r="M38"/>
  <c r="K38"/>
  <c r="I38"/>
  <c r="G38"/>
  <c r="F38"/>
  <c r="K37"/>
  <c r="I37"/>
  <c r="G37"/>
  <c r="F37"/>
  <c r="K36"/>
  <c r="I36"/>
  <c r="G36"/>
  <c r="F36"/>
  <c r="M35"/>
  <c r="K35"/>
  <c r="I35"/>
  <c r="G35"/>
  <c r="F35"/>
  <c r="M34"/>
  <c r="K34"/>
  <c r="I34"/>
  <c r="G34"/>
  <c r="F34"/>
  <c r="K33"/>
  <c r="I33"/>
  <c r="G33"/>
  <c r="F33"/>
  <c r="K32"/>
  <c r="I32"/>
  <c r="G32"/>
  <c r="F32"/>
  <c r="M31"/>
  <c r="K31"/>
  <c r="I31"/>
  <c r="G31"/>
  <c r="F31"/>
  <c r="M30"/>
  <c r="K30"/>
  <c r="I30"/>
  <c r="G30"/>
  <c r="F30"/>
  <c r="K29"/>
  <c r="I29"/>
  <c r="G29"/>
  <c r="F29"/>
  <c r="K28"/>
  <c r="I28"/>
  <c r="G28"/>
  <c r="F28"/>
  <c r="M27"/>
  <c r="K27"/>
  <c r="I27"/>
  <c r="G27"/>
  <c r="F27"/>
  <c r="M26"/>
  <c r="K26"/>
  <c r="I26"/>
  <c r="G26"/>
  <c r="F26"/>
  <c r="K25"/>
  <c r="I25"/>
  <c r="G25"/>
  <c r="F25"/>
  <c r="K24"/>
  <c r="I24"/>
  <c r="G24"/>
  <c r="F24"/>
  <c r="M23"/>
  <c r="K23"/>
  <c r="I23"/>
  <c r="G23"/>
  <c r="F23"/>
  <c r="M22"/>
  <c r="K22"/>
  <c r="I22"/>
  <c r="G22"/>
  <c r="F22"/>
  <c r="K21"/>
  <c r="I21"/>
  <c r="G21"/>
  <c r="F21"/>
  <c r="K20"/>
  <c r="I20"/>
  <c r="G20"/>
  <c r="F20"/>
  <c r="M19"/>
  <c r="K19"/>
  <c r="I19"/>
  <c r="G19"/>
  <c r="F19"/>
  <c r="M18"/>
  <c r="K18"/>
  <c r="I18"/>
  <c r="G18"/>
  <c r="F18"/>
  <c r="K17"/>
  <c r="I17"/>
  <c r="G17"/>
  <c r="F17"/>
  <c r="K16"/>
  <c r="I16"/>
  <c r="G16"/>
  <c r="F16"/>
  <c r="M15"/>
  <c r="K15"/>
  <c r="I15"/>
  <c r="G15"/>
  <c r="F15"/>
  <c r="M14"/>
  <c r="K14"/>
  <c r="I14"/>
  <c r="G14"/>
  <c r="F14"/>
  <c r="K13"/>
  <c r="I13"/>
  <c r="G13"/>
  <c r="F13"/>
  <c r="K12"/>
  <c r="I12"/>
  <c r="G12"/>
  <c r="F12"/>
  <c r="M11"/>
  <c r="K11"/>
  <c r="I11"/>
  <c r="G11"/>
  <c r="F11"/>
  <c r="M10"/>
  <c r="K10"/>
  <c r="I10"/>
  <c r="G10"/>
  <c r="F10"/>
  <c r="K9"/>
  <c r="I9"/>
  <c r="G9"/>
  <c r="F9"/>
  <c r="K8"/>
  <c r="I8"/>
  <c r="G8"/>
  <c r="F8"/>
  <c r="M7"/>
  <c r="K7"/>
  <c r="I7"/>
  <c r="G7"/>
  <c r="F7"/>
  <c r="M6"/>
  <c r="K6"/>
  <c r="I6"/>
  <c r="G6"/>
  <c r="F6"/>
  <c r="K5"/>
  <c r="I5"/>
  <c r="G5"/>
  <c r="F5"/>
  <c r="K4"/>
  <c r="I4"/>
  <c r="G4"/>
  <c r="F4"/>
  <c r="M3"/>
  <c r="K3"/>
  <c r="I3"/>
  <c r="G3"/>
  <c r="F3"/>
  <c r="K2"/>
  <c r="I2"/>
  <c r="G2"/>
  <c r="F2"/>
  <c r="J67" i="12"/>
  <c r="E67"/>
  <c r="D67"/>
  <c r="M66"/>
  <c r="K66"/>
  <c r="I66"/>
  <c r="G66"/>
  <c r="F66"/>
  <c r="K65"/>
  <c r="I65"/>
  <c r="G65"/>
  <c r="F65"/>
  <c r="M64"/>
  <c r="K64"/>
  <c r="I64"/>
  <c r="G64"/>
  <c r="F64"/>
  <c r="K63"/>
  <c r="I63"/>
  <c r="G63"/>
  <c r="F63"/>
  <c r="M62"/>
  <c r="K62"/>
  <c r="I62"/>
  <c r="G62"/>
  <c r="F62"/>
  <c r="M61"/>
  <c r="K61"/>
  <c r="I61"/>
  <c r="G61"/>
  <c r="F61"/>
  <c r="K60"/>
  <c r="I60"/>
  <c r="G60"/>
  <c r="F60"/>
  <c r="K59"/>
  <c r="I59"/>
  <c r="G59"/>
  <c r="F59"/>
  <c r="M58"/>
  <c r="K58"/>
  <c r="I58"/>
  <c r="G58"/>
  <c r="F58"/>
  <c r="M57"/>
  <c r="K57"/>
  <c r="I57"/>
  <c r="G57"/>
  <c r="F57"/>
  <c r="K56"/>
  <c r="I56"/>
  <c r="G56"/>
  <c r="F56"/>
  <c r="K55"/>
  <c r="I55"/>
  <c r="G55"/>
  <c r="F55"/>
  <c r="M54"/>
  <c r="K54"/>
  <c r="I54"/>
  <c r="G54"/>
  <c r="F54"/>
  <c r="M53"/>
  <c r="K53"/>
  <c r="I53"/>
  <c r="G53"/>
  <c r="F53"/>
  <c r="M52"/>
  <c r="K52"/>
  <c r="I52"/>
  <c r="G52"/>
  <c r="F52"/>
  <c r="K51"/>
  <c r="I51"/>
  <c r="G51"/>
  <c r="F51"/>
  <c r="M50"/>
  <c r="K50"/>
  <c r="I50"/>
  <c r="G50"/>
  <c r="F50"/>
  <c r="K49"/>
  <c r="I49"/>
  <c r="G49"/>
  <c r="F49"/>
  <c r="M48"/>
  <c r="K48"/>
  <c r="I48"/>
  <c r="G48"/>
  <c r="F48"/>
  <c r="K47"/>
  <c r="I47"/>
  <c r="G47"/>
  <c r="F47"/>
  <c r="M46"/>
  <c r="K46"/>
  <c r="I46"/>
  <c r="G46"/>
  <c r="F46"/>
  <c r="M45"/>
  <c r="K45"/>
  <c r="I45"/>
  <c r="G45"/>
  <c r="F45"/>
  <c r="K44"/>
  <c r="I44"/>
  <c r="G44"/>
  <c r="F44"/>
  <c r="K43"/>
  <c r="I43"/>
  <c r="G43"/>
  <c r="F43"/>
  <c r="M42"/>
  <c r="K42"/>
  <c r="I42"/>
  <c r="G42"/>
  <c r="F42"/>
  <c r="M41"/>
  <c r="K41"/>
  <c r="I41"/>
  <c r="G41"/>
  <c r="F41"/>
  <c r="K40"/>
  <c r="I40"/>
  <c r="G40"/>
  <c r="F40"/>
  <c r="K39"/>
  <c r="I39"/>
  <c r="G39"/>
  <c r="F39"/>
  <c r="M38"/>
  <c r="K38"/>
  <c r="I38"/>
  <c r="G38"/>
  <c r="F38"/>
  <c r="M37"/>
  <c r="K37"/>
  <c r="I37"/>
  <c r="G37"/>
  <c r="F37"/>
  <c r="M36"/>
  <c r="K36"/>
  <c r="I36"/>
  <c r="G36"/>
  <c r="F36"/>
  <c r="K35"/>
  <c r="I35"/>
  <c r="G35"/>
  <c r="F35"/>
  <c r="M34"/>
  <c r="K34"/>
  <c r="I34"/>
  <c r="G34"/>
  <c r="F34"/>
  <c r="K33"/>
  <c r="I33"/>
  <c r="G33"/>
  <c r="F33"/>
  <c r="M32"/>
  <c r="K32"/>
  <c r="I32"/>
  <c r="G32"/>
  <c r="F32"/>
  <c r="K31"/>
  <c r="I31"/>
  <c r="G31"/>
  <c r="F31"/>
  <c r="M30"/>
  <c r="K30"/>
  <c r="I30"/>
  <c r="G30"/>
  <c r="F30"/>
  <c r="M29"/>
  <c r="K29"/>
  <c r="I29"/>
  <c r="G29"/>
  <c r="F29"/>
  <c r="K28"/>
  <c r="I28"/>
  <c r="G28"/>
  <c r="F28"/>
  <c r="K27"/>
  <c r="I27"/>
  <c r="G27"/>
  <c r="F27"/>
  <c r="M26"/>
  <c r="K26"/>
  <c r="I26"/>
  <c r="G26"/>
  <c r="F26"/>
  <c r="M25"/>
  <c r="K25"/>
  <c r="I25"/>
  <c r="G25"/>
  <c r="F25"/>
  <c r="K24"/>
  <c r="I24"/>
  <c r="G24"/>
  <c r="F24"/>
  <c r="K23"/>
  <c r="I23"/>
  <c r="G23"/>
  <c r="F23"/>
  <c r="M22"/>
  <c r="K22"/>
  <c r="I22"/>
  <c r="G22"/>
  <c r="F22"/>
  <c r="M21"/>
  <c r="K21"/>
  <c r="I21"/>
  <c r="G21"/>
  <c r="F21"/>
  <c r="M20"/>
  <c r="K20"/>
  <c r="I20"/>
  <c r="G20"/>
  <c r="F20"/>
  <c r="K19"/>
  <c r="I19"/>
  <c r="G19"/>
  <c r="F19"/>
  <c r="M18"/>
  <c r="K18"/>
  <c r="I18"/>
  <c r="G18"/>
  <c r="F18"/>
  <c r="K17"/>
  <c r="I17"/>
  <c r="G17"/>
  <c r="F17"/>
  <c r="M16"/>
  <c r="K16"/>
  <c r="I16"/>
  <c r="G16"/>
  <c r="F16"/>
  <c r="K15"/>
  <c r="I15"/>
  <c r="G15"/>
  <c r="F15"/>
  <c r="M14"/>
  <c r="K14"/>
  <c r="I14"/>
  <c r="G14"/>
  <c r="F14"/>
  <c r="M13"/>
  <c r="K13"/>
  <c r="I13"/>
  <c r="G13"/>
  <c r="F13"/>
  <c r="K12"/>
  <c r="I12"/>
  <c r="G12"/>
  <c r="F12"/>
  <c r="K11"/>
  <c r="I11"/>
  <c r="G11"/>
  <c r="F11"/>
  <c r="M10"/>
  <c r="K10"/>
  <c r="I10"/>
  <c r="G10"/>
  <c r="F10"/>
  <c r="M9"/>
  <c r="K9"/>
  <c r="I9"/>
  <c r="G9"/>
  <c r="F9"/>
  <c r="K8"/>
  <c r="I8"/>
  <c r="G8"/>
  <c r="F8"/>
  <c r="K7"/>
  <c r="I7"/>
  <c r="G7"/>
  <c r="F7"/>
  <c r="M6"/>
  <c r="K6"/>
  <c r="I6"/>
  <c r="G6"/>
  <c r="F6"/>
  <c r="M5"/>
  <c r="K5"/>
  <c r="I5"/>
  <c r="G5"/>
  <c r="G67" s="1"/>
  <c r="F5"/>
  <c r="M4"/>
  <c r="K4"/>
  <c r="I4"/>
  <c r="G4"/>
  <c r="F4"/>
  <c r="K3"/>
  <c r="I3"/>
  <c r="G3"/>
  <c r="F3"/>
  <c r="K2"/>
  <c r="K67" s="1"/>
  <c r="I2"/>
  <c r="I67" s="1"/>
  <c r="G2"/>
  <c r="F2"/>
  <c r="F67" s="1"/>
  <c r="L3" i="10"/>
  <c r="L4"/>
  <c r="M4" s="1"/>
  <c r="L5"/>
  <c r="M5" s="1"/>
  <c r="L6"/>
  <c r="L7"/>
  <c r="L8"/>
  <c r="M8" s="1"/>
  <c r="L9"/>
  <c r="M9" s="1"/>
  <c r="L10"/>
  <c r="L11"/>
  <c r="L12"/>
  <c r="M12" s="1"/>
  <c r="L13"/>
  <c r="M13" s="1"/>
  <c r="L14"/>
  <c r="L15"/>
  <c r="L16"/>
  <c r="M16" s="1"/>
  <c r="L17"/>
  <c r="M17" s="1"/>
  <c r="L18"/>
  <c r="L19"/>
  <c r="L20"/>
  <c r="M20" s="1"/>
  <c r="L21"/>
  <c r="M21" s="1"/>
  <c r="L22"/>
  <c r="L23"/>
  <c r="L24"/>
  <c r="M24" s="1"/>
  <c r="L25"/>
  <c r="M25" s="1"/>
  <c r="L26"/>
  <c r="L27"/>
  <c r="L28"/>
  <c r="M28" s="1"/>
  <c r="L29"/>
  <c r="M29" s="1"/>
  <c r="L30"/>
  <c r="L31"/>
  <c r="L32"/>
  <c r="M32" s="1"/>
  <c r="L33"/>
  <c r="M33" s="1"/>
  <c r="L34"/>
  <c r="L35"/>
  <c r="L36"/>
  <c r="M36" s="1"/>
  <c r="L37"/>
  <c r="M37" s="1"/>
  <c r="L38"/>
  <c r="L39"/>
  <c r="L40"/>
  <c r="M40" s="1"/>
  <c r="L41"/>
  <c r="M41" s="1"/>
  <c r="L42"/>
  <c r="L43"/>
  <c r="L44"/>
  <c r="M44" s="1"/>
  <c r="L45"/>
  <c r="M45" s="1"/>
  <c r="L46"/>
  <c r="L47"/>
  <c r="L48"/>
  <c r="M48" s="1"/>
  <c r="L49"/>
  <c r="M49" s="1"/>
  <c r="L50"/>
  <c r="L51"/>
  <c r="L52"/>
  <c r="M52" s="1"/>
  <c r="L53"/>
  <c r="M53" s="1"/>
  <c r="L54"/>
  <c r="L55"/>
  <c r="L56"/>
  <c r="M56" s="1"/>
  <c r="L57"/>
  <c r="M57" s="1"/>
  <c r="L58"/>
  <c r="L59"/>
  <c r="L60"/>
  <c r="M60" s="1"/>
  <c r="L61"/>
  <c r="M61" s="1"/>
  <c r="L62"/>
  <c r="L63"/>
  <c r="L64"/>
  <c r="M64" s="1"/>
  <c r="L65"/>
  <c r="M65" s="1"/>
  <c r="L66"/>
  <c r="L2"/>
  <c r="L67" i="11"/>
  <c r="J67"/>
  <c r="E67"/>
  <c r="D67"/>
  <c r="M66"/>
  <c r="K66"/>
  <c r="I66"/>
  <c r="G66"/>
  <c r="F66"/>
  <c r="M65"/>
  <c r="K65"/>
  <c r="I65"/>
  <c r="G65"/>
  <c r="F65"/>
  <c r="M64"/>
  <c r="K64"/>
  <c r="I64"/>
  <c r="G64"/>
  <c r="F64"/>
  <c r="M63"/>
  <c r="K63"/>
  <c r="I63"/>
  <c r="G63"/>
  <c r="F63"/>
  <c r="M62"/>
  <c r="K62"/>
  <c r="I62"/>
  <c r="G62"/>
  <c r="F62"/>
  <c r="M61"/>
  <c r="K61"/>
  <c r="I61"/>
  <c r="G61"/>
  <c r="F61"/>
  <c r="M60"/>
  <c r="K60"/>
  <c r="I60"/>
  <c r="G60"/>
  <c r="F60"/>
  <c r="M59"/>
  <c r="K59"/>
  <c r="I59"/>
  <c r="G59"/>
  <c r="F59"/>
  <c r="M58"/>
  <c r="K58"/>
  <c r="I58"/>
  <c r="G58"/>
  <c r="F58"/>
  <c r="M57"/>
  <c r="K57"/>
  <c r="I57"/>
  <c r="G57"/>
  <c r="F57"/>
  <c r="M56"/>
  <c r="K56"/>
  <c r="I56"/>
  <c r="G56"/>
  <c r="F56"/>
  <c r="M55"/>
  <c r="K55"/>
  <c r="I55"/>
  <c r="G55"/>
  <c r="F55"/>
  <c r="M54"/>
  <c r="K54"/>
  <c r="I54"/>
  <c r="G54"/>
  <c r="F54"/>
  <c r="M53"/>
  <c r="K53"/>
  <c r="I53"/>
  <c r="G53"/>
  <c r="F53"/>
  <c r="M52"/>
  <c r="K52"/>
  <c r="I52"/>
  <c r="G52"/>
  <c r="F52"/>
  <c r="M51"/>
  <c r="K51"/>
  <c r="I51"/>
  <c r="G51"/>
  <c r="F51"/>
  <c r="M50"/>
  <c r="K50"/>
  <c r="I50"/>
  <c r="G50"/>
  <c r="F50"/>
  <c r="M49"/>
  <c r="K49"/>
  <c r="I49"/>
  <c r="G49"/>
  <c r="F49"/>
  <c r="M48"/>
  <c r="K48"/>
  <c r="I48"/>
  <c r="G48"/>
  <c r="F48"/>
  <c r="M47"/>
  <c r="K47"/>
  <c r="I47"/>
  <c r="G47"/>
  <c r="F47"/>
  <c r="M46"/>
  <c r="K46"/>
  <c r="I46"/>
  <c r="G46"/>
  <c r="F46"/>
  <c r="M45"/>
  <c r="K45"/>
  <c r="I45"/>
  <c r="G45"/>
  <c r="F45"/>
  <c r="M44"/>
  <c r="K44"/>
  <c r="I44"/>
  <c r="G44"/>
  <c r="F44"/>
  <c r="M43"/>
  <c r="K43"/>
  <c r="I43"/>
  <c r="G43"/>
  <c r="F43"/>
  <c r="M42"/>
  <c r="K42"/>
  <c r="I42"/>
  <c r="G42"/>
  <c r="F42"/>
  <c r="M41"/>
  <c r="K41"/>
  <c r="I41"/>
  <c r="G41"/>
  <c r="F41"/>
  <c r="M40"/>
  <c r="K40"/>
  <c r="I40"/>
  <c r="G40"/>
  <c r="F40"/>
  <c r="M39"/>
  <c r="K39"/>
  <c r="I39"/>
  <c r="G39"/>
  <c r="F39"/>
  <c r="M38"/>
  <c r="K38"/>
  <c r="I38"/>
  <c r="G38"/>
  <c r="F38"/>
  <c r="M37"/>
  <c r="K37"/>
  <c r="I37"/>
  <c r="G37"/>
  <c r="F37"/>
  <c r="M36"/>
  <c r="K36"/>
  <c r="I36"/>
  <c r="G36"/>
  <c r="F36"/>
  <c r="M35"/>
  <c r="K35"/>
  <c r="I35"/>
  <c r="G35"/>
  <c r="F35"/>
  <c r="M34"/>
  <c r="K34"/>
  <c r="I34"/>
  <c r="G34"/>
  <c r="F34"/>
  <c r="M33"/>
  <c r="K33"/>
  <c r="I33"/>
  <c r="G33"/>
  <c r="F33"/>
  <c r="M32"/>
  <c r="K32"/>
  <c r="I32"/>
  <c r="G32"/>
  <c r="F32"/>
  <c r="M31"/>
  <c r="K31"/>
  <c r="I31"/>
  <c r="G31"/>
  <c r="F31"/>
  <c r="M30"/>
  <c r="K30"/>
  <c r="I30"/>
  <c r="G30"/>
  <c r="F30"/>
  <c r="M29"/>
  <c r="K29"/>
  <c r="I29"/>
  <c r="G29"/>
  <c r="F29"/>
  <c r="M28"/>
  <c r="K28"/>
  <c r="I28"/>
  <c r="G28"/>
  <c r="F28"/>
  <c r="M27"/>
  <c r="K27"/>
  <c r="I27"/>
  <c r="G27"/>
  <c r="F27"/>
  <c r="M26"/>
  <c r="K26"/>
  <c r="I26"/>
  <c r="G26"/>
  <c r="F26"/>
  <c r="M25"/>
  <c r="K25"/>
  <c r="I25"/>
  <c r="G25"/>
  <c r="F25"/>
  <c r="M24"/>
  <c r="K24"/>
  <c r="I24"/>
  <c r="G24"/>
  <c r="F24"/>
  <c r="M23"/>
  <c r="K23"/>
  <c r="I23"/>
  <c r="G23"/>
  <c r="F23"/>
  <c r="M22"/>
  <c r="K22"/>
  <c r="I22"/>
  <c r="G22"/>
  <c r="F22"/>
  <c r="M21"/>
  <c r="K21"/>
  <c r="I21"/>
  <c r="G21"/>
  <c r="F21"/>
  <c r="M20"/>
  <c r="K20"/>
  <c r="I20"/>
  <c r="G20"/>
  <c r="F20"/>
  <c r="M19"/>
  <c r="K19"/>
  <c r="I19"/>
  <c r="G19"/>
  <c r="F19"/>
  <c r="M18"/>
  <c r="K18"/>
  <c r="I18"/>
  <c r="G18"/>
  <c r="F18"/>
  <c r="M17"/>
  <c r="K17"/>
  <c r="I17"/>
  <c r="G17"/>
  <c r="F17"/>
  <c r="M16"/>
  <c r="K16"/>
  <c r="I16"/>
  <c r="G16"/>
  <c r="F16"/>
  <c r="M15"/>
  <c r="K15"/>
  <c r="I15"/>
  <c r="G15"/>
  <c r="F15"/>
  <c r="M14"/>
  <c r="K14"/>
  <c r="I14"/>
  <c r="G14"/>
  <c r="F14"/>
  <c r="M13"/>
  <c r="K13"/>
  <c r="I13"/>
  <c r="G13"/>
  <c r="F13"/>
  <c r="M12"/>
  <c r="K12"/>
  <c r="I12"/>
  <c r="G12"/>
  <c r="F12"/>
  <c r="M11"/>
  <c r="K11"/>
  <c r="I11"/>
  <c r="G11"/>
  <c r="F11"/>
  <c r="M10"/>
  <c r="K10"/>
  <c r="I10"/>
  <c r="G10"/>
  <c r="F10"/>
  <c r="M9"/>
  <c r="K9"/>
  <c r="I9"/>
  <c r="G9"/>
  <c r="F9"/>
  <c r="M8"/>
  <c r="K8"/>
  <c r="I8"/>
  <c r="G8"/>
  <c r="F8"/>
  <c r="M7"/>
  <c r="K7"/>
  <c r="I7"/>
  <c r="G7"/>
  <c r="F7"/>
  <c r="M6"/>
  <c r="K6"/>
  <c r="I6"/>
  <c r="G6"/>
  <c r="F6"/>
  <c r="M5"/>
  <c r="K5"/>
  <c r="I5"/>
  <c r="G5"/>
  <c r="F5"/>
  <c r="M4"/>
  <c r="K4"/>
  <c r="I4"/>
  <c r="G4"/>
  <c r="F4"/>
  <c r="M3"/>
  <c r="K3"/>
  <c r="I3"/>
  <c r="G3"/>
  <c r="F3"/>
  <c r="M2"/>
  <c r="M67" s="1"/>
  <c r="K2"/>
  <c r="I2"/>
  <c r="G2"/>
  <c r="F2"/>
  <c r="F67" s="1"/>
  <c r="L3" i="9"/>
  <c r="L4"/>
  <c r="M4" s="1"/>
  <c r="L5"/>
  <c r="M5" s="1"/>
  <c r="L6"/>
  <c r="L7"/>
  <c r="L8"/>
  <c r="M8" s="1"/>
  <c r="L9"/>
  <c r="M9" s="1"/>
  <c r="L10"/>
  <c r="L11"/>
  <c r="L12"/>
  <c r="M12" s="1"/>
  <c r="L13"/>
  <c r="M13" s="1"/>
  <c r="L14"/>
  <c r="L15"/>
  <c r="L16"/>
  <c r="M16" s="1"/>
  <c r="L17"/>
  <c r="M17" s="1"/>
  <c r="L18"/>
  <c r="L19"/>
  <c r="L20"/>
  <c r="M20" s="1"/>
  <c r="L21"/>
  <c r="M21" s="1"/>
  <c r="L22"/>
  <c r="L23"/>
  <c r="L24"/>
  <c r="M24" s="1"/>
  <c r="L25"/>
  <c r="M25" s="1"/>
  <c r="L26"/>
  <c r="L27"/>
  <c r="L28"/>
  <c r="M28" s="1"/>
  <c r="L29"/>
  <c r="M29" s="1"/>
  <c r="L30"/>
  <c r="L31"/>
  <c r="L32"/>
  <c r="M32" s="1"/>
  <c r="L33"/>
  <c r="M33" s="1"/>
  <c r="L34"/>
  <c r="L35"/>
  <c r="L36"/>
  <c r="M36" s="1"/>
  <c r="L37"/>
  <c r="M37" s="1"/>
  <c r="L38"/>
  <c r="L39"/>
  <c r="L40"/>
  <c r="M40" s="1"/>
  <c r="L41"/>
  <c r="M41" s="1"/>
  <c r="L42"/>
  <c r="L43"/>
  <c r="L44"/>
  <c r="M44" s="1"/>
  <c r="L45"/>
  <c r="M45" s="1"/>
  <c r="L46"/>
  <c r="L47"/>
  <c r="L48"/>
  <c r="M48" s="1"/>
  <c r="L49"/>
  <c r="M49" s="1"/>
  <c r="L50"/>
  <c r="L51"/>
  <c r="L52"/>
  <c r="M52" s="1"/>
  <c r="L53"/>
  <c r="M53" s="1"/>
  <c r="L54"/>
  <c r="L55"/>
  <c r="L56"/>
  <c r="M56" s="1"/>
  <c r="L57"/>
  <c r="M57" s="1"/>
  <c r="L58"/>
  <c r="L59"/>
  <c r="L60"/>
  <c r="M60" s="1"/>
  <c r="L61"/>
  <c r="M61" s="1"/>
  <c r="L62"/>
  <c r="L63"/>
  <c r="L64"/>
  <c r="M64" s="1"/>
  <c r="L65"/>
  <c r="M65" s="1"/>
  <c r="L66"/>
  <c r="L2"/>
  <c r="J67" i="10"/>
  <c r="E67"/>
  <c r="D67"/>
  <c r="M66"/>
  <c r="K66"/>
  <c r="I66"/>
  <c r="G66"/>
  <c r="F66"/>
  <c r="K65"/>
  <c r="I65"/>
  <c r="G65"/>
  <c r="F65"/>
  <c r="K64"/>
  <c r="I64"/>
  <c r="G64"/>
  <c r="F64"/>
  <c r="M63"/>
  <c r="K63"/>
  <c r="I63"/>
  <c r="G63"/>
  <c r="F63"/>
  <c r="M62"/>
  <c r="K62"/>
  <c r="I62"/>
  <c r="G62"/>
  <c r="F62"/>
  <c r="K61"/>
  <c r="I61"/>
  <c r="G61"/>
  <c r="F61"/>
  <c r="K60"/>
  <c r="I60"/>
  <c r="G60"/>
  <c r="F60"/>
  <c r="M59"/>
  <c r="K59"/>
  <c r="I59"/>
  <c r="G59"/>
  <c r="F59"/>
  <c r="M58"/>
  <c r="K58"/>
  <c r="I58"/>
  <c r="G58"/>
  <c r="F58"/>
  <c r="K57"/>
  <c r="I57"/>
  <c r="G57"/>
  <c r="F57"/>
  <c r="K56"/>
  <c r="I56"/>
  <c r="G56"/>
  <c r="F56"/>
  <c r="M55"/>
  <c r="K55"/>
  <c r="I55"/>
  <c r="G55"/>
  <c r="F55"/>
  <c r="M54"/>
  <c r="K54"/>
  <c r="I54"/>
  <c r="G54"/>
  <c r="F54"/>
  <c r="K53"/>
  <c r="I53"/>
  <c r="G53"/>
  <c r="F53"/>
  <c r="K52"/>
  <c r="I52"/>
  <c r="G52"/>
  <c r="F52"/>
  <c r="M51"/>
  <c r="K51"/>
  <c r="I51"/>
  <c r="G51"/>
  <c r="F51"/>
  <c r="M50"/>
  <c r="K50"/>
  <c r="I50"/>
  <c r="G50"/>
  <c r="F50"/>
  <c r="K49"/>
  <c r="I49"/>
  <c r="G49"/>
  <c r="F49"/>
  <c r="K48"/>
  <c r="I48"/>
  <c r="G48"/>
  <c r="F48"/>
  <c r="M47"/>
  <c r="K47"/>
  <c r="I47"/>
  <c r="G47"/>
  <c r="F47"/>
  <c r="M46"/>
  <c r="K46"/>
  <c r="I46"/>
  <c r="G46"/>
  <c r="F46"/>
  <c r="K45"/>
  <c r="I45"/>
  <c r="G45"/>
  <c r="F45"/>
  <c r="K44"/>
  <c r="I44"/>
  <c r="G44"/>
  <c r="F44"/>
  <c r="M43"/>
  <c r="K43"/>
  <c r="I43"/>
  <c r="G43"/>
  <c r="F43"/>
  <c r="M42"/>
  <c r="K42"/>
  <c r="I42"/>
  <c r="G42"/>
  <c r="F42"/>
  <c r="K41"/>
  <c r="I41"/>
  <c r="G41"/>
  <c r="F41"/>
  <c r="K40"/>
  <c r="I40"/>
  <c r="G40"/>
  <c r="F40"/>
  <c r="M39"/>
  <c r="K39"/>
  <c r="I39"/>
  <c r="G39"/>
  <c r="F39"/>
  <c r="M38"/>
  <c r="K38"/>
  <c r="I38"/>
  <c r="G38"/>
  <c r="F38"/>
  <c r="K37"/>
  <c r="I37"/>
  <c r="G37"/>
  <c r="F37"/>
  <c r="K36"/>
  <c r="I36"/>
  <c r="G36"/>
  <c r="F36"/>
  <c r="M35"/>
  <c r="K35"/>
  <c r="I35"/>
  <c r="G35"/>
  <c r="F35"/>
  <c r="M34"/>
  <c r="K34"/>
  <c r="I34"/>
  <c r="G34"/>
  <c r="F34"/>
  <c r="K33"/>
  <c r="I33"/>
  <c r="G33"/>
  <c r="F33"/>
  <c r="K32"/>
  <c r="I32"/>
  <c r="G32"/>
  <c r="F32"/>
  <c r="M31"/>
  <c r="K31"/>
  <c r="I31"/>
  <c r="G31"/>
  <c r="F31"/>
  <c r="M30"/>
  <c r="K30"/>
  <c r="I30"/>
  <c r="G30"/>
  <c r="F30"/>
  <c r="K29"/>
  <c r="I29"/>
  <c r="G29"/>
  <c r="F29"/>
  <c r="K28"/>
  <c r="I28"/>
  <c r="G28"/>
  <c r="F28"/>
  <c r="M27"/>
  <c r="K27"/>
  <c r="I27"/>
  <c r="G27"/>
  <c r="F27"/>
  <c r="M26"/>
  <c r="K26"/>
  <c r="I26"/>
  <c r="G26"/>
  <c r="F26"/>
  <c r="K25"/>
  <c r="I25"/>
  <c r="G25"/>
  <c r="F25"/>
  <c r="K24"/>
  <c r="I24"/>
  <c r="G24"/>
  <c r="F24"/>
  <c r="M23"/>
  <c r="K23"/>
  <c r="I23"/>
  <c r="G23"/>
  <c r="F23"/>
  <c r="M22"/>
  <c r="K22"/>
  <c r="I22"/>
  <c r="G22"/>
  <c r="F22"/>
  <c r="K21"/>
  <c r="I21"/>
  <c r="G21"/>
  <c r="F21"/>
  <c r="K20"/>
  <c r="I20"/>
  <c r="G20"/>
  <c r="F20"/>
  <c r="M19"/>
  <c r="K19"/>
  <c r="I19"/>
  <c r="G19"/>
  <c r="F19"/>
  <c r="M18"/>
  <c r="K18"/>
  <c r="I18"/>
  <c r="G18"/>
  <c r="F18"/>
  <c r="K17"/>
  <c r="I17"/>
  <c r="G17"/>
  <c r="F17"/>
  <c r="K16"/>
  <c r="I16"/>
  <c r="G16"/>
  <c r="F16"/>
  <c r="M15"/>
  <c r="K15"/>
  <c r="I15"/>
  <c r="G15"/>
  <c r="F15"/>
  <c r="M14"/>
  <c r="K14"/>
  <c r="I14"/>
  <c r="G14"/>
  <c r="F14"/>
  <c r="K13"/>
  <c r="I13"/>
  <c r="G13"/>
  <c r="F13"/>
  <c r="K12"/>
  <c r="I12"/>
  <c r="G12"/>
  <c r="F12"/>
  <c r="M11"/>
  <c r="K11"/>
  <c r="I11"/>
  <c r="G11"/>
  <c r="F11"/>
  <c r="M10"/>
  <c r="K10"/>
  <c r="I10"/>
  <c r="G10"/>
  <c r="F10"/>
  <c r="K9"/>
  <c r="I9"/>
  <c r="G9"/>
  <c r="F9"/>
  <c r="K8"/>
  <c r="I8"/>
  <c r="G8"/>
  <c r="F8"/>
  <c r="M7"/>
  <c r="K7"/>
  <c r="I7"/>
  <c r="G7"/>
  <c r="F7"/>
  <c r="M6"/>
  <c r="K6"/>
  <c r="I6"/>
  <c r="G6"/>
  <c r="F6"/>
  <c r="K5"/>
  <c r="I5"/>
  <c r="G5"/>
  <c r="F5"/>
  <c r="F67" s="1"/>
  <c r="K4"/>
  <c r="I4"/>
  <c r="G4"/>
  <c r="F4"/>
  <c r="M3"/>
  <c r="K3"/>
  <c r="I3"/>
  <c r="G3"/>
  <c r="F3"/>
  <c r="K2"/>
  <c r="I2"/>
  <c r="G2"/>
  <c r="F2"/>
  <c r="L3" i="8"/>
  <c r="L4"/>
  <c r="M4" s="1"/>
  <c r="L5"/>
  <c r="L6"/>
  <c r="M6" s="1"/>
  <c r="L7"/>
  <c r="L8"/>
  <c r="M8" s="1"/>
  <c r="L9"/>
  <c r="L10"/>
  <c r="M10" s="1"/>
  <c r="L11"/>
  <c r="L12"/>
  <c r="M12" s="1"/>
  <c r="L13"/>
  <c r="L14"/>
  <c r="M14" s="1"/>
  <c r="L15"/>
  <c r="L16"/>
  <c r="M16" s="1"/>
  <c r="L17"/>
  <c r="L18"/>
  <c r="M18" s="1"/>
  <c r="L19"/>
  <c r="L20"/>
  <c r="M20" s="1"/>
  <c r="L21"/>
  <c r="L22"/>
  <c r="M22" s="1"/>
  <c r="L23"/>
  <c r="L24"/>
  <c r="M24" s="1"/>
  <c r="L25"/>
  <c r="L26"/>
  <c r="M26" s="1"/>
  <c r="L27"/>
  <c r="L28"/>
  <c r="M28" s="1"/>
  <c r="L29"/>
  <c r="L30"/>
  <c r="M30" s="1"/>
  <c r="L31"/>
  <c r="L32"/>
  <c r="M32" s="1"/>
  <c r="L33"/>
  <c r="L34"/>
  <c r="M34" s="1"/>
  <c r="L35"/>
  <c r="L36"/>
  <c r="M36" s="1"/>
  <c r="L37"/>
  <c r="L38"/>
  <c r="M38" s="1"/>
  <c r="L39"/>
  <c r="L40"/>
  <c r="M40" s="1"/>
  <c r="L41"/>
  <c r="L42"/>
  <c r="M42" s="1"/>
  <c r="L43"/>
  <c r="L44"/>
  <c r="M44" s="1"/>
  <c r="L45"/>
  <c r="L46"/>
  <c r="M46" s="1"/>
  <c r="L47"/>
  <c r="L48"/>
  <c r="M48" s="1"/>
  <c r="L49"/>
  <c r="L50"/>
  <c r="M50" s="1"/>
  <c r="L51"/>
  <c r="L52"/>
  <c r="M52" s="1"/>
  <c r="L53"/>
  <c r="L54"/>
  <c r="M54" s="1"/>
  <c r="L55"/>
  <c r="L56"/>
  <c r="M56" s="1"/>
  <c r="L57"/>
  <c r="L58"/>
  <c r="M58" s="1"/>
  <c r="L59"/>
  <c r="L60"/>
  <c r="M60" s="1"/>
  <c r="L61"/>
  <c r="L62"/>
  <c r="M62" s="1"/>
  <c r="L63"/>
  <c r="L64"/>
  <c r="M64" s="1"/>
  <c r="L65"/>
  <c r="L66"/>
  <c r="M66" s="1"/>
  <c r="L2"/>
  <c r="J67" i="9"/>
  <c r="E67"/>
  <c r="D67"/>
  <c r="M66"/>
  <c r="K66"/>
  <c r="I66"/>
  <c r="G66"/>
  <c r="F66"/>
  <c r="K65"/>
  <c r="I65"/>
  <c r="G65"/>
  <c r="F65"/>
  <c r="K64"/>
  <c r="I64"/>
  <c r="G64"/>
  <c r="F64"/>
  <c r="M63"/>
  <c r="K63"/>
  <c r="I63"/>
  <c r="G63"/>
  <c r="F63"/>
  <c r="M62"/>
  <c r="K62"/>
  <c r="I62"/>
  <c r="G62"/>
  <c r="F62"/>
  <c r="K61"/>
  <c r="I61"/>
  <c r="G61"/>
  <c r="F61"/>
  <c r="K60"/>
  <c r="I60"/>
  <c r="G60"/>
  <c r="F60"/>
  <c r="M59"/>
  <c r="K59"/>
  <c r="I59"/>
  <c r="G59"/>
  <c r="F59"/>
  <c r="M58"/>
  <c r="K58"/>
  <c r="I58"/>
  <c r="G58"/>
  <c r="F58"/>
  <c r="K57"/>
  <c r="I57"/>
  <c r="G57"/>
  <c r="F57"/>
  <c r="K56"/>
  <c r="I56"/>
  <c r="G56"/>
  <c r="F56"/>
  <c r="M55"/>
  <c r="K55"/>
  <c r="I55"/>
  <c r="G55"/>
  <c r="F55"/>
  <c r="M54"/>
  <c r="K54"/>
  <c r="I54"/>
  <c r="G54"/>
  <c r="F54"/>
  <c r="K53"/>
  <c r="I53"/>
  <c r="G53"/>
  <c r="F53"/>
  <c r="K52"/>
  <c r="I52"/>
  <c r="G52"/>
  <c r="F52"/>
  <c r="M51"/>
  <c r="K51"/>
  <c r="I51"/>
  <c r="G51"/>
  <c r="F51"/>
  <c r="M50"/>
  <c r="K50"/>
  <c r="I50"/>
  <c r="G50"/>
  <c r="F50"/>
  <c r="K49"/>
  <c r="I49"/>
  <c r="G49"/>
  <c r="F49"/>
  <c r="K48"/>
  <c r="I48"/>
  <c r="G48"/>
  <c r="F48"/>
  <c r="M47"/>
  <c r="K47"/>
  <c r="I47"/>
  <c r="G47"/>
  <c r="F47"/>
  <c r="M46"/>
  <c r="K46"/>
  <c r="I46"/>
  <c r="G46"/>
  <c r="F46"/>
  <c r="K45"/>
  <c r="I45"/>
  <c r="G45"/>
  <c r="F45"/>
  <c r="K44"/>
  <c r="I44"/>
  <c r="G44"/>
  <c r="F44"/>
  <c r="M43"/>
  <c r="K43"/>
  <c r="I43"/>
  <c r="G43"/>
  <c r="F43"/>
  <c r="M42"/>
  <c r="K42"/>
  <c r="I42"/>
  <c r="G42"/>
  <c r="F42"/>
  <c r="K41"/>
  <c r="I41"/>
  <c r="G41"/>
  <c r="F41"/>
  <c r="K40"/>
  <c r="I40"/>
  <c r="G40"/>
  <c r="F40"/>
  <c r="M39"/>
  <c r="K39"/>
  <c r="I39"/>
  <c r="G39"/>
  <c r="F39"/>
  <c r="M38"/>
  <c r="K38"/>
  <c r="I38"/>
  <c r="G38"/>
  <c r="F38"/>
  <c r="K37"/>
  <c r="I37"/>
  <c r="G37"/>
  <c r="F37"/>
  <c r="K36"/>
  <c r="I36"/>
  <c r="G36"/>
  <c r="F36"/>
  <c r="M35"/>
  <c r="K35"/>
  <c r="I35"/>
  <c r="G35"/>
  <c r="F35"/>
  <c r="M34"/>
  <c r="K34"/>
  <c r="I34"/>
  <c r="G34"/>
  <c r="F34"/>
  <c r="K33"/>
  <c r="I33"/>
  <c r="G33"/>
  <c r="F33"/>
  <c r="K32"/>
  <c r="I32"/>
  <c r="G32"/>
  <c r="F32"/>
  <c r="M31"/>
  <c r="K31"/>
  <c r="I31"/>
  <c r="G31"/>
  <c r="F31"/>
  <c r="M30"/>
  <c r="K30"/>
  <c r="I30"/>
  <c r="G30"/>
  <c r="F30"/>
  <c r="K29"/>
  <c r="I29"/>
  <c r="G29"/>
  <c r="F29"/>
  <c r="K28"/>
  <c r="I28"/>
  <c r="G28"/>
  <c r="F28"/>
  <c r="M27"/>
  <c r="K27"/>
  <c r="I27"/>
  <c r="G27"/>
  <c r="F27"/>
  <c r="M26"/>
  <c r="K26"/>
  <c r="I26"/>
  <c r="G26"/>
  <c r="F26"/>
  <c r="K25"/>
  <c r="I25"/>
  <c r="G25"/>
  <c r="F25"/>
  <c r="K24"/>
  <c r="I24"/>
  <c r="G24"/>
  <c r="F24"/>
  <c r="M23"/>
  <c r="K23"/>
  <c r="I23"/>
  <c r="G23"/>
  <c r="F23"/>
  <c r="M22"/>
  <c r="K22"/>
  <c r="I22"/>
  <c r="G22"/>
  <c r="F22"/>
  <c r="K21"/>
  <c r="I21"/>
  <c r="G21"/>
  <c r="F21"/>
  <c r="K20"/>
  <c r="I20"/>
  <c r="G20"/>
  <c r="F20"/>
  <c r="M19"/>
  <c r="K19"/>
  <c r="I19"/>
  <c r="G19"/>
  <c r="F19"/>
  <c r="M18"/>
  <c r="K18"/>
  <c r="I18"/>
  <c r="G18"/>
  <c r="F18"/>
  <c r="K17"/>
  <c r="I17"/>
  <c r="G17"/>
  <c r="F17"/>
  <c r="K16"/>
  <c r="I16"/>
  <c r="G16"/>
  <c r="F16"/>
  <c r="M15"/>
  <c r="K15"/>
  <c r="I15"/>
  <c r="G15"/>
  <c r="F15"/>
  <c r="M14"/>
  <c r="K14"/>
  <c r="I14"/>
  <c r="G14"/>
  <c r="F14"/>
  <c r="K13"/>
  <c r="I13"/>
  <c r="G13"/>
  <c r="F13"/>
  <c r="K12"/>
  <c r="I12"/>
  <c r="G12"/>
  <c r="F12"/>
  <c r="M11"/>
  <c r="K11"/>
  <c r="I11"/>
  <c r="G11"/>
  <c r="F11"/>
  <c r="M10"/>
  <c r="K10"/>
  <c r="I10"/>
  <c r="G10"/>
  <c r="F10"/>
  <c r="K9"/>
  <c r="I9"/>
  <c r="G9"/>
  <c r="F9"/>
  <c r="K8"/>
  <c r="I8"/>
  <c r="G8"/>
  <c r="F8"/>
  <c r="M7"/>
  <c r="K7"/>
  <c r="I7"/>
  <c r="G7"/>
  <c r="F7"/>
  <c r="M6"/>
  <c r="K6"/>
  <c r="I6"/>
  <c r="G6"/>
  <c r="F6"/>
  <c r="K5"/>
  <c r="I5"/>
  <c r="G5"/>
  <c r="F5"/>
  <c r="K4"/>
  <c r="I4"/>
  <c r="G4"/>
  <c r="F4"/>
  <c r="M3"/>
  <c r="K3"/>
  <c r="I3"/>
  <c r="G3"/>
  <c r="F3"/>
  <c r="K2"/>
  <c r="I2"/>
  <c r="G2"/>
  <c r="F2"/>
  <c r="L3" i="7"/>
  <c r="L4"/>
  <c r="L5"/>
  <c r="M5" s="1"/>
  <c r="L6"/>
  <c r="L7"/>
  <c r="L8"/>
  <c r="L9"/>
  <c r="M9" s="1"/>
  <c r="L10"/>
  <c r="L11"/>
  <c r="L12"/>
  <c r="L13"/>
  <c r="M13" s="1"/>
  <c r="L14"/>
  <c r="L15"/>
  <c r="L16"/>
  <c r="L17"/>
  <c r="M17" s="1"/>
  <c r="L18"/>
  <c r="L19"/>
  <c r="L20"/>
  <c r="L21"/>
  <c r="M21" s="1"/>
  <c r="L24"/>
  <c r="L25"/>
  <c r="M25" s="1"/>
  <c r="L26"/>
  <c r="L27"/>
  <c r="L28"/>
  <c r="L29"/>
  <c r="M29" s="1"/>
  <c r="L30"/>
  <c r="L31"/>
  <c r="L32"/>
  <c r="L33"/>
  <c r="M33" s="1"/>
  <c r="L34"/>
  <c r="L35"/>
  <c r="L36"/>
  <c r="L37"/>
  <c r="M37" s="1"/>
  <c r="L38"/>
  <c r="L39"/>
  <c r="L40"/>
  <c r="L41"/>
  <c r="M41" s="1"/>
  <c r="L42"/>
  <c r="L43"/>
  <c r="L44"/>
  <c r="L45"/>
  <c r="M45" s="1"/>
  <c r="L46"/>
  <c r="L47"/>
  <c r="L48"/>
  <c r="L49"/>
  <c r="M49" s="1"/>
  <c r="L50"/>
  <c r="L51"/>
  <c r="L52"/>
  <c r="L53"/>
  <c r="M53" s="1"/>
  <c r="L54"/>
  <c r="L55"/>
  <c r="L56"/>
  <c r="L57"/>
  <c r="M57" s="1"/>
  <c r="L58"/>
  <c r="L59"/>
  <c r="L60"/>
  <c r="L61"/>
  <c r="M61" s="1"/>
  <c r="L62"/>
  <c r="L63"/>
  <c r="L64"/>
  <c r="L65"/>
  <c r="M65" s="1"/>
  <c r="L66"/>
  <c r="L2"/>
  <c r="L67" i="8"/>
  <c r="J67"/>
  <c r="D67"/>
  <c r="K66"/>
  <c r="I66"/>
  <c r="G66"/>
  <c r="F66"/>
  <c r="M65"/>
  <c r="K65"/>
  <c r="I65"/>
  <c r="G65"/>
  <c r="F65"/>
  <c r="K64"/>
  <c r="I64"/>
  <c r="G64"/>
  <c r="F64"/>
  <c r="M63"/>
  <c r="K63"/>
  <c r="I63"/>
  <c r="G63"/>
  <c r="F63"/>
  <c r="K62"/>
  <c r="I62"/>
  <c r="G62"/>
  <c r="F62"/>
  <c r="M61"/>
  <c r="K61"/>
  <c r="I61"/>
  <c r="G61"/>
  <c r="F61"/>
  <c r="K60"/>
  <c r="I60"/>
  <c r="G60"/>
  <c r="F60"/>
  <c r="M59"/>
  <c r="K59"/>
  <c r="I59"/>
  <c r="G59"/>
  <c r="F59"/>
  <c r="K58"/>
  <c r="I58"/>
  <c r="G58"/>
  <c r="F58"/>
  <c r="M57"/>
  <c r="K57"/>
  <c r="I57"/>
  <c r="G57"/>
  <c r="F57"/>
  <c r="K56"/>
  <c r="I56"/>
  <c r="G56"/>
  <c r="F56"/>
  <c r="M55"/>
  <c r="K55"/>
  <c r="I55"/>
  <c r="G55"/>
  <c r="F55"/>
  <c r="K54"/>
  <c r="I54"/>
  <c r="G54"/>
  <c r="F54"/>
  <c r="M53"/>
  <c r="K53"/>
  <c r="I53"/>
  <c r="G53"/>
  <c r="F53"/>
  <c r="K52"/>
  <c r="I52"/>
  <c r="G52"/>
  <c r="F52"/>
  <c r="M51"/>
  <c r="K51"/>
  <c r="I51"/>
  <c r="G51"/>
  <c r="F51"/>
  <c r="K50"/>
  <c r="I50"/>
  <c r="G50"/>
  <c r="F50"/>
  <c r="M49"/>
  <c r="K49"/>
  <c r="I49"/>
  <c r="G49"/>
  <c r="F49"/>
  <c r="K48"/>
  <c r="I48"/>
  <c r="G48"/>
  <c r="F48"/>
  <c r="M47"/>
  <c r="K47"/>
  <c r="I47"/>
  <c r="G47"/>
  <c r="F47"/>
  <c r="K46"/>
  <c r="I46"/>
  <c r="G46"/>
  <c r="F46"/>
  <c r="M45"/>
  <c r="K45"/>
  <c r="I45"/>
  <c r="G45"/>
  <c r="F45"/>
  <c r="K44"/>
  <c r="I44"/>
  <c r="G44"/>
  <c r="F44"/>
  <c r="M43"/>
  <c r="K43"/>
  <c r="I43"/>
  <c r="G43"/>
  <c r="F43"/>
  <c r="K42"/>
  <c r="I42"/>
  <c r="G42"/>
  <c r="F42"/>
  <c r="M41"/>
  <c r="K41"/>
  <c r="I41"/>
  <c r="G41"/>
  <c r="F41"/>
  <c r="K40"/>
  <c r="I40"/>
  <c r="G40"/>
  <c r="F40"/>
  <c r="M39"/>
  <c r="K39"/>
  <c r="I39"/>
  <c r="G39"/>
  <c r="F39"/>
  <c r="K38"/>
  <c r="I38"/>
  <c r="G38"/>
  <c r="F38"/>
  <c r="M37"/>
  <c r="K37"/>
  <c r="I37"/>
  <c r="G37"/>
  <c r="F37"/>
  <c r="K36"/>
  <c r="I36"/>
  <c r="G36"/>
  <c r="F36"/>
  <c r="M35"/>
  <c r="K35"/>
  <c r="I35"/>
  <c r="G35"/>
  <c r="F35"/>
  <c r="K34"/>
  <c r="I34"/>
  <c r="G34"/>
  <c r="F34"/>
  <c r="M33"/>
  <c r="K33"/>
  <c r="I33"/>
  <c r="G33"/>
  <c r="F33"/>
  <c r="K32"/>
  <c r="I32"/>
  <c r="G32"/>
  <c r="F32"/>
  <c r="M31"/>
  <c r="K31"/>
  <c r="I31"/>
  <c r="G31"/>
  <c r="F31"/>
  <c r="K30"/>
  <c r="I30"/>
  <c r="G30"/>
  <c r="F30"/>
  <c r="M29"/>
  <c r="K29"/>
  <c r="I29"/>
  <c r="G29"/>
  <c r="F29"/>
  <c r="K28"/>
  <c r="I28"/>
  <c r="G28"/>
  <c r="F28"/>
  <c r="M27"/>
  <c r="K27"/>
  <c r="I27"/>
  <c r="G27"/>
  <c r="F27"/>
  <c r="K26"/>
  <c r="I26"/>
  <c r="G26"/>
  <c r="F26"/>
  <c r="M25"/>
  <c r="K25"/>
  <c r="I25"/>
  <c r="G25"/>
  <c r="F25"/>
  <c r="K24"/>
  <c r="I24"/>
  <c r="G24"/>
  <c r="F24"/>
  <c r="M23"/>
  <c r="K23"/>
  <c r="I23"/>
  <c r="F23"/>
  <c r="E67"/>
  <c r="K22"/>
  <c r="I22"/>
  <c r="G22"/>
  <c r="F22"/>
  <c r="M21"/>
  <c r="K21"/>
  <c r="I21"/>
  <c r="G21"/>
  <c r="F21"/>
  <c r="K20"/>
  <c r="I20"/>
  <c r="G20"/>
  <c r="F20"/>
  <c r="M19"/>
  <c r="K19"/>
  <c r="I19"/>
  <c r="G19"/>
  <c r="F19"/>
  <c r="K18"/>
  <c r="I18"/>
  <c r="G18"/>
  <c r="F18"/>
  <c r="M17"/>
  <c r="K17"/>
  <c r="I17"/>
  <c r="G17"/>
  <c r="F17"/>
  <c r="K16"/>
  <c r="I16"/>
  <c r="G16"/>
  <c r="F16"/>
  <c r="M15"/>
  <c r="K15"/>
  <c r="I15"/>
  <c r="G15"/>
  <c r="F15"/>
  <c r="K14"/>
  <c r="I14"/>
  <c r="G14"/>
  <c r="F14"/>
  <c r="M13"/>
  <c r="K13"/>
  <c r="I13"/>
  <c r="G13"/>
  <c r="F13"/>
  <c r="K12"/>
  <c r="I12"/>
  <c r="G12"/>
  <c r="F12"/>
  <c r="M11"/>
  <c r="K11"/>
  <c r="I11"/>
  <c r="G11"/>
  <c r="F11"/>
  <c r="K10"/>
  <c r="I10"/>
  <c r="G10"/>
  <c r="F10"/>
  <c r="M9"/>
  <c r="K9"/>
  <c r="I9"/>
  <c r="G9"/>
  <c r="F9"/>
  <c r="K8"/>
  <c r="I8"/>
  <c r="G8"/>
  <c r="F8"/>
  <c r="M7"/>
  <c r="K7"/>
  <c r="I7"/>
  <c r="G7"/>
  <c r="F7"/>
  <c r="K6"/>
  <c r="I6"/>
  <c r="G6"/>
  <c r="F6"/>
  <c r="M5"/>
  <c r="K5"/>
  <c r="I5"/>
  <c r="G5"/>
  <c r="F5"/>
  <c r="K4"/>
  <c r="I4"/>
  <c r="G4"/>
  <c r="F4"/>
  <c r="M3"/>
  <c r="K3"/>
  <c r="I3"/>
  <c r="G3"/>
  <c r="F3"/>
  <c r="M2"/>
  <c r="K2"/>
  <c r="I2"/>
  <c r="G2"/>
  <c r="F2"/>
  <c r="L2" i="6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E23" i="7"/>
  <c r="J67"/>
  <c r="E67"/>
  <c r="D67"/>
  <c r="M66"/>
  <c r="K66"/>
  <c r="I66"/>
  <c r="G66"/>
  <c r="F66"/>
  <c r="K65"/>
  <c r="I65"/>
  <c r="G65"/>
  <c r="F65"/>
  <c r="M64"/>
  <c r="K64"/>
  <c r="I64"/>
  <c r="G64"/>
  <c r="F64"/>
  <c r="M63"/>
  <c r="K63"/>
  <c r="I63"/>
  <c r="G63"/>
  <c r="F63"/>
  <c r="M62"/>
  <c r="K62"/>
  <c r="I62"/>
  <c r="G62"/>
  <c r="F62"/>
  <c r="K61"/>
  <c r="I61"/>
  <c r="G61"/>
  <c r="F61"/>
  <c r="M60"/>
  <c r="K60"/>
  <c r="I60"/>
  <c r="G60"/>
  <c r="F60"/>
  <c r="M59"/>
  <c r="K59"/>
  <c r="I59"/>
  <c r="G59"/>
  <c r="F59"/>
  <c r="M58"/>
  <c r="K58"/>
  <c r="I58"/>
  <c r="G58"/>
  <c r="F58"/>
  <c r="K57"/>
  <c r="I57"/>
  <c r="G57"/>
  <c r="F57"/>
  <c r="M56"/>
  <c r="K56"/>
  <c r="I56"/>
  <c r="G56"/>
  <c r="F56"/>
  <c r="M55"/>
  <c r="K55"/>
  <c r="I55"/>
  <c r="G55"/>
  <c r="F55"/>
  <c r="M54"/>
  <c r="K54"/>
  <c r="I54"/>
  <c r="G54"/>
  <c r="F54"/>
  <c r="K53"/>
  <c r="I53"/>
  <c r="G53"/>
  <c r="F53"/>
  <c r="M52"/>
  <c r="K52"/>
  <c r="I52"/>
  <c r="G52"/>
  <c r="F52"/>
  <c r="M51"/>
  <c r="K51"/>
  <c r="I51"/>
  <c r="G51"/>
  <c r="F51"/>
  <c r="M50"/>
  <c r="K50"/>
  <c r="I50"/>
  <c r="G50"/>
  <c r="F50"/>
  <c r="K49"/>
  <c r="I49"/>
  <c r="G49"/>
  <c r="F49"/>
  <c r="M48"/>
  <c r="K48"/>
  <c r="I48"/>
  <c r="G48"/>
  <c r="F48"/>
  <c r="M47"/>
  <c r="K47"/>
  <c r="I47"/>
  <c r="G47"/>
  <c r="F47"/>
  <c r="M46"/>
  <c r="K46"/>
  <c r="I46"/>
  <c r="G46"/>
  <c r="F46"/>
  <c r="K45"/>
  <c r="I45"/>
  <c r="G45"/>
  <c r="F45"/>
  <c r="M44"/>
  <c r="K44"/>
  <c r="I44"/>
  <c r="G44"/>
  <c r="F44"/>
  <c r="M43"/>
  <c r="K43"/>
  <c r="I43"/>
  <c r="G43"/>
  <c r="F43"/>
  <c r="M42"/>
  <c r="K42"/>
  <c r="I42"/>
  <c r="G42"/>
  <c r="F42"/>
  <c r="K41"/>
  <c r="I41"/>
  <c r="G41"/>
  <c r="F41"/>
  <c r="M40"/>
  <c r="K40"/>
  <c r="I40"/>
  <c r="G40"/>
  <c r="F40"/>
  <c r="M39"/>
  <c r="K39"/>
  <c r="I39"/>
  <c r="G39"/>
  <c r="F39"/>
  <c r="M38"/>
  <c r="K38"/>
  <c r="I38"/>
  <c r="G38"/>
  <c r="F38"/>
  <c r="K37"/>
  <c r="I37"/>
  <c r="G37"/>
  <c r="F37"/>
  <c r="M36"/>
  <c r="K36"/>
  <c r="I36"/>
  <c r="G36"/>
  <c r="F36"/>
  <c r="M35"/>
  <c r="K35"/>
  <c r="I35"/>
  <c r="G35"/>
  <c r="F35"/>
  <c r="M34"/>
  <c r="K34"/>
  <c r="I34"/>
  <c r="G34"/>
  <c r="F34"/>
  <c r="K33"/>
  <c r="I33"/>
  <c r="G33"/>
  <c r="F33"/>
  <c r="M32"/>
  <c r="K32"/>
  <c r="I32"/>
  <c r="G32"/>
  <c r="F32"/>
  <c r="M31"/>
  <c r="K31"/>
  <c r="I31"/>
  <c r="G31"/>
  <c r="F31"/>
  <c r="M30"/>
  <c r="K30"/>
  <c r="I30"/>
  <c r="G30"/>
  <c r="F30"/>
  <c r="K29"/>
  <c r="I29"/>
  <c r="G29"/>
  <c r="F29"/>
  <c r="M28"/>
  <c r="K28"/>
  <c r="I28"/>
  <c r="G28"/>
  <c r="F28"/>
  <c r="M27"/>
  <c r="K27"/>
  <c r="I27"/>
  <c r="G27"/>
  <c r="F27"/>
  <c r="M26"/>
  <c r="K26"/>
  <c r="I26"/>
  <c r="G26"/>
  <c r="F26"/>
  <c r="K25"/>
  <c r="I25"/>
  <c r="G25"/>
  <c r="F25"/>
  <c r="M24"/>
  <c r="K24"/>
  <c r="I24"/>
  <c r="G24"/>
  <c r="F24"/>
  <c r="K23"/>
  <c r="I23"/>
  <c r="G23"/>
  <c r="L23" s="1"/>
  <c r="M23" s="1"/>
  <c r="F23"/>
  <c r="K22"/>
  <c r="I22"/>
  <c r="G22"/>
  <c r="L22" s="1"/>
  <c r="M22" s="1"/>
  <c r="F22"/>
  <c r="K21"/>
  <c r="I21"/>
  <c r="G21"/>
  <c r="F21"/>
  <c r="M20"/>
  <c r="K20"/>
  <c r="I20"/>
  <c r="G20"/>
  <c r="F20"/>
  <c r="M19"/>
  <c r="K19"/>
  <c r="I19"/>
  <c r="G19"/>
  <c r="F19"/>
  <c r="M18"/>
  <c r="K18"/>
  <c r="I18"/>
  <c r="G18"/>
  <c r="F18"/>
  <c r="K17"/>
  <c r="I17"/>
  <c r="G17"/>
  <c r="F17"/>
  <c r="M16"/>
  <c r="K16"/>
  <c r="I16"/>
  <c r="G16"/>
  <c r="F16"/>
  <c r="M15"/>
  <c r="K15"/>
  <c r="I15"/>
  <c r="G15"/>
  <c r="F15"/>
  <c r="M14"/>
  <c r="K14"/>
  <c r="I14"/>
  <c r="G14"/>
  <c r="F14"/>
  <c r="K13"/>
  <c r="I13"/>
  <c r="G13"/>
  <c r="F13"/>
  <c r="M12"/>
  <c r="K12"/>
  <c r="I12"/>
  <c r="G12"/>
  <c r="F12"/>
  <c r="M11"/>
  <c r="K11"/>
  <c r="I11"/>
  <c r="G11"/>
  <c r="F11"/>
  <c r="M10"/>
  <c r="K10"/>
  <c r="I10"/>
  <c r="G10"/>
  <c r="F10"/>
  <c r="K9"/>
  <c r="I9"/>
  <c r="G9"/>
  <c r="F9"/>
  <c r="M8"/>
  <c r="K8"/>
  <c r="I8"/>
  <c r="G8"/>
  <c r="F8"/>
  <c r="M7"/>
  <c r="K7"/>
  <c r="I7"/>
  <c r="G7"/>
  <c r="F7"/>
  <c r="M6"/>
  <c r="K6"/>
  <c r="I6"/>
  <c r="G6"/>
  <c r="F6"/>
  <c r="K5"/>
  <c r="I5"/>
  <c r="G5"/>
  <c r="F5"/>
  <c r="M4"/>
  <c r="K4"/>
  <c r="I4"/>
  <c r="G4"/>
  <c r="F4"/>
  <c r="M3"/>
  <c r="K3"/>
  <c r="I3"/>
  <c r="G3"/>
  <c r="F3"/>
  <c r="M2"/>
  <c r="K2"/>
  <c r="I2"/>
  <c r="G2"/>
  <c r="F2"/>
  <c r="L3" i="5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60"/>
  <c r="L61"/>
  <c r="L62"/>
  <c r="L63"/>
  <c r="L64"/>
  <c r="L65"/>
  <c r="L66"/>
  <c r="L2"/>
  <c r="M68" i="21" l="1"/>
  <c r="L68"/>
  <c r="G68" i="22"/>
  <c r="I68"/>
  <c r="K68"/>
  <c r="L68" i="20"/>
  <c r="M2"/>
  <c r="M68" s="1"/>
  <c r="K68" i="21"/>
  <c r="G68"/>
  <c r="I68"/>
  <c r="F68" i="20"/>
  <c r="L68" i="19"/>
  <c r="M68"/>
  <c r="G68" i="20"/>
  <c r="I68"/>
  <c r="K68"/>
  <c r="F68" i="19"/>
  <c r="K68"/>
  <c r="I68"/>
  <c r="M68" i="17"/>
  <c r="F68" i="18"/>
  <c r="K68"/>
  <c r="G68"/>
  <c r="I68"/>
  <c r="M4" i="16"/>
  <c r="M68"/>
  <c r="F68" i="17"/>
  <c r="K68"/>
  <c r="G68"/>
  <c r="I68"/>
  <c r="L67" i="15"/>
  <c r="M2"/>
  <c r="M67" s="1"/>
  <c r="F68" i="16"/>
  <c r="G68"/>
  <c r="K68"/>
  <c r="I68"/>
  <c r="M67" i="14"/>
  <c r="G67" i="15"/>
  <c r="I67"/>
  <c r="K67"/>
  <c r="L67" i="13"/>
  <c r="M67"/>
  <c r="M2"/>
  <c r="K67" i="14"/>
  <c r="G67"/>
  <c r="I67"/>
  <c r="F67" i="13"/>
  <c r="M2" i="12"/>
  <c r="M67" s="1"/>
  <c r="K67" i="13"/>
  <c r="I67"/>
  <c r="G67"/>
  <c r="L67" i="10"/>
  <c r="M2"/>
  <c r="M67" s="1"/>
  <c r="I67" i="11"/>
  <c r="K67"/>
  <c r="G67"/>
  <c r="L67" i="9"/>
  <c r="M2"/>
  <c r="M67" s="1"/>
  <c r="K67" i="10"/>
  <c r="I67"/>
  <c r="G67"/>
  <c r="M67" i="8"/>
  <c r="F67" i="9"/>
  <c r="K67"/>
  <c r="I67"/>
  <c r="G67"/>
  <c r="L67" i="7"/>
  <c r="M67"/>
  <c r="I67" i="8"/>
  <c r="K67"/>
  <c r="F67"/>
  <c r="G23"/>
  <c r="G67" s="1"/>
  <c r="K67" i="7"/>
  <c r="F67"/>
  <c r="I67"/>
  <c r="G67"/>
  <c r="L67" i="6"/>
  <c r="J67"/>
  <c r="E67"/>
  <c r="D67"/>
  <c r="M66"/>
  <c r="K66"/>
  <c r="I66"/>
  <c r="G66"/>
  <c r="F66"/>
  <c r="M65"/>
  <c r="K65"/>
  <c r="I65"/>
  <c r="G65"/>
  <c r="F65"/>
  <c r="M64"/>
  <c r="K64"/>
  <c r="I64"/>
  <c r="G64"/>
  <c r="F64"/>
  <c r="M63"/>
  <c r="K63"/>
  <c r="I63"/>
  <c r="G63"/>
  <c r="F63"/>
  <c r="M62"/>
  <c r="K62"/>
  <c r="I62"/>
  <c r="G62"/>
  <c r="F62"/>
  <c r="M61"/>
  <c r="K61"/>
  <c r="I61"/>
  <c r="G61"/>
  <c r="F61"/>
  <c r="M60"/>
  <c r="K60"/>
  <c r="I60"/>
  <c r="G60"/>
  <c r="F60"/>
  <c r="M59"/>
  <c r="K59"/>
  <c r="I59"/>
  <c r="G59"/>
  <c r="F59"/>
  <c r="M58"/>
  <c r="K58"/>
  <c r="I58"/>
  <c r="G58"/>
  <c r="F58"/>
  <c r="M57"/>
  <c r="K57"/>
  <c r="I57"/>
  <c r="G57"/>
  <c r="F57"/>
  <c r="M56"/>
  <c r="K56"/>
  <c r="I56"/>
  <c r="G56"/>
  <c r="F56"/>
  <c r="M55"/>
  <c r="K55"/>
  <c r="I55"/>
  <c r="G55"/>
  <c r="F55"/>
  <c r="M54"/>
  <c r="K54"/>
  <c r="I54"/>
  <c r="G54"/>
  <c r="F54"/>
  <c r="M53"/>
  <c r="K53"/>
  <c r="I53"/>
  <c r="G53"/>
  <c r="F53"/>
  <c r="M52"/>
  <c r="K52"/>
  <c r="I52"/>
  <c r="G52"/>
  <c r="F52"/>
  <c r="M51"/>
  <c r="K51"/>
  <c r="I51"/>
  <c r="G51"/>
  <c r="F51"/>
  <c r="M50"/>
  <c r="K50"/>
  <c r="I50"/>
  <c r="G50"/>
  <c r="F50"/>
  <c r="M49"/>
  <c r="K49"/>
  <c r="I49"/>
  <c r="G49"/>
  <c r="F49"/>
  <c r="M48"/>
  <c r="K48"/>
  <c r="I48"/>
  <c r="G48"/>
  <c r="F48"/>
  <c r="M47"/>
  <c r="K47"/>
  <c r="I47"/>
  <c r="G47"/>
  <c r="F47"/>
  <c r="M46"/>
  <c r="K46"/>
  <c r="I46"/>
  <c r="G46"/>
  <c r="F46"/>
  <c r="M45"/>
  <c r="K45"/>
  <c r="I45"/>
  <c r="G45"/>
  <c r="F45"/>
  <c r="M44"/>
  <c r="K44"/>
  <c r="I44"/>
  <c r="G44"/>
  <c r="F44"/>
  <c r="M43"/>
  <c r="K43"/>
  <c r="I43"/>
  <c r="G43"/>
  <c r="F43"/>
  <c r="M42"/>
  <c r="K42"/>
  <c r="I42"/>
  <c r="G42"/>
  <c r="F42"/>
  <c r="M41"/>
  <c r="K41"/>
  <c r="I41"/>
  <c r="G41"/>
  <c r="F41"/>
  <c r="M40"/>
  <c r="K40"/>
  <c r="I40"/>
  <c r="G40"/>
  <c r="F40"/>
  <c r="M39"/>
  <c r="K39"/>
  <c r="I39"/>
  <c r="G39"/>
  <c r="F39"/>
  <c r="M38"/>
  <c r="K38"/>
  <c r="I38"/>
  <c r="G38"/>
  <c r="F38"/>
  <c r="M37"/>
  <c r="K37"/>
  <c r="I37"/>
  <c r="G37"/>
  <c r="F37"/>
  <c r="M36"/>
  <c r="K36"/>
  <c r="I36"/>
  <c r="G36"/>
  <c r="F36"/>
  <c r="M35"/>
  <c r="K35"/>
  <c r="I35"/>
  <c r="G35"/>
  <c r="F35"/>
  <c r="M34"/>
  <c r="K34"/>
  <c r="I34"/>
  <c r="G34"/>
  <c r="F34"/>
  <c r="M33"/>
  <c r="K33"/>
  <c r="I33"/>
  <c r="G33"/>
  <c r="F33"/>
  <c r="M32"/>
  <c r="K32"/>
  <c r="I32"/>
  <c r="G32"/>
  <c r="F32"/>
  <c r="M31"/>
  <c r="K31"/>
  <c r="I31"/>
  <c r="G31"/>
  <c r="F31"/>
  <c r="M30"/>
  <c r="K30"/>
  <c r="I30"/>
  <c r="G30"/>
  <c r="F30"/>
  <c r="M29"/>
  <c r="K29"/>
  <c r="I29"/>
  <c r="G29"/>
  <c r="F29"/>
  <c r="M28"/>
  <c r="K28"/>
  <c r="I28"/>
  <c r="G28"/>
  <c r="F28"/>
  <c r="M27"/>
  <c r="K27"/>
  <c r="I27"/>
  <c r="G27"/>
  <c r="F27"/>
  <c r="M26"/>
  <c r="K26"/>
  <c r="I26"/>
  <c r="G26"/>
  <c r="F26"/>
  <c r="M25"/>
  <c r="K25"/>
  <c r="I25"/>
  <c r="G25"/>
  <c r="F25"/>
  <c r="M24"/>
  <c r="K24"/>
  <c r="I24"/>
  <c r="G24"/>
  <c r="F24"/>
  <c r="M23"/>
  <c r="K23"/>
  <c r="I23"/>
  <c r="G23"/>
  <c r="F23"/>
  <c r="M22"/>
  <c r="K22"/>
  <c r="I22"/>
  <c r="G22"/>
  <c r="F22"/>
  <c r="M21"/>
  <c r="K21"/>
  <c r="I21"/>
  <c r="G21"/>
  <c r="F21"/>
  <c r="M20"/>
  <c r="K20"/>
  <c r="I20"/>
  <c r="G20"/>
  <c r="F20"/>
  <c r="M19"/>
  <c r="K19"/>
  <c r="I19"/>
  <c r="G19"/>
  <c r="F19"/>
  <c r="M18"/>
  <c r="K18"/>
  <c r="I18"/>
  <c r="G18"/>
  <c r="F18"/>
  <c r="M17"/>
  <c r="K17"/>
  <c r="I17"/>
  <c r="G17"/>
  <c r="F17"/>
  <c r="M16"/>
  <c r="K16"/>
  <c r="I16"/>
  <c r="G16"/>
  <c r="F16"/>
  <c r="M15"/>
  <c r="K15"/>
  <c r="I15"/>
  <c r="G15"/>
  <c r="F15"/>
  <c r="M14"/>
  <c r="K14"/>
  <c r="I14"/>
  <c r="G14"/>
  <c r="F14"/>
  <c r="M13"/>
  <c r="K13"/>
  <c r="I13"/>
  <c r="G13"/>
  <c r="F13"/>
  <c r="M12"/>
  <c r="K12"/>
  <c r="I12"/>
  <c r="G12"/>
  <c r="F12"/>
  <c r="M11"/>
  <c r="K11"/>
  <c r="I11"/>
  <c r="G11"/>
  <c r="F11"/>
  <c r="M10"/>
  <c r="K10"/>
  <c r="I10"/>
  <c r="G10"/>
  <c r="F10"/>
  <c r="M9"/>
  <c r="K9"/>
  <c r="I9"/>
  <c r="G9"/>
  <c r="F9"/>
  <c r="M8"/>
  <c r="K8"/>
  <c r="I8"/>
  <c r="G8"/>
  <c r="F8"/>
  <c r="M7"/>
  <c r="K7"/>
  <c r="I7"/>
  <c r="G7"/>
  <c r="F7"/>
  <c r="M6"/>
  <c r="K6"/>
  <c r="I6"/>
  <c r="G6"/>
  <c r="F6"/>
  <c r="M5"/>
  <c r="K5"/>
  <c r="I5"/>
  <c r="G5"/>
  <c r="F5"/>
  <c r="M4"/>
  <c r="K4"/>
  <c r="I4"/>
  <c r="G4"/>
  <c r="F4"/>
  <c r="M3"/>
  <c r="K3"/>
  <c r="I3"/>
  <c r="G3"/>
  <c r="F3"/>
  <c r="M2"/>
  <c r="K2"/>
  <c r="I2"/>
  <c r="G2"/>
  <c r="F2"/>
  <c r="F67" s="1"/>
  <c r="J67" i="5"/>
  <c r="E67"/>
  <c r="D67"/>
  <c r="M66"/>
  <c r="K66"/>
  <c r="I66"/>
  <c r="G66"/>
  <c r="F66"/>
  <c r="M65"/>
  <c r="K65"/>
  <c r="I65"/>
  <c r="G65"/>
  <c r="F65"/>
  <c r="M64"/>
  <c r="K64"/>
  <c r="I64"/>
  <c r="G64"/>
  <c r="F64"/>
  <c r="M63"/>
  <c r="K63"/>
  <c r="I63"/>
  <c r="G63"/>
  <c r="F63"/>
  <c r="M62"/>
  <c r="K62"/>
  <c r="I62"/>
  <c r="G62"/>
  <c r="F62"/>
  <c r="M61"/>
  <c r="K61"/>
  <c r="I61"/>
  <c r="G61"/>
  <c r="F61"/>
  <c r="M60"/>
  <c r="K60"/>
  <c r="I60"/>
  <c r="G60"/>
  <c r="F60"/>
  <c r="K59"/>
  <c r="I59"/>
  <c r="G59"/>
  <c r="L59" s="1"/>
  <c r="L67" s="1"/>
  <c r="F59"/>
  <c r="M58"/>
  <c r="K58"/>
  <c r="I58"/>
  <c r="G58"/>
  <c r="F58"/>
  <c r="M57"/>
  <c r="K57"/>
  <c r="I57"/>
  <c r="G57"/>
  <c r="F57"/>
  <c r="M56"/>
  <c r="K56"/>
  <c r="I56"/>
  <c r="G56"/>
  <c r="F56"/>
  <c r="M55"/>
  <c r="K55"/>
  <c r="I55"/>
  <c r="G55"/>
  <c r="F55"/>
  <c r="M54"/>
  <c r="K54"/>
  <c r="I54"/>
  <c r="G54"/>
  <c r="F54"/>
  <c r="M53"/>
  <c r="K53"/>
  <c r="I53"/>
  <c r="G53"/>
  <c r="F53"/>
  <c r="M52"/>
  <c r="K52"/>
  <c r="I52"/>
  <c r="G52"/>
  <c r="F52"/>
  <c r="M51"/>
  <c r="K51"/>
  <c r="I51"/>
  <c r="G51"/>
  <c r="F51"/>
  <c r="M50"/>
  <c r="K50"/>
  <c r="I50"/>
  <c r="G50"/>
  <c r="F50"/>
  <c r="M49"/>
  <c r="K49"/>
  <c r="I49"/>
  <c r="G49"/>
  <c r="F49"/>
  <c r="M48"/>
  <c r="K48"/>
  <c r="I48"/>
  <c r="G48"/>
  <c r="F48"/>
  <c r="M47"/>
  <c r="K47"/>
  <c r="I47"/>
  <c r="G47"/>
  <c r="F47"/>
  <c r="M46"/>
  <c r="K46"/>
  <c r="I46"/>
  <c r="G46"/>
  <c r="F46"/>
  <c r="M45"/>
  <c r="K45"/>
  <c r="I45"/>
  <c r="G45"/>
  <c r="F45"/>
  <c r="M44"/>
  <c r="K44"/>
  <c r="I44"/>
  <c r="G44"/>
  <c r="F44"/>
  <c r="M43"/>
  <c r="K43"/>
  <c r="I43"/>
  <c r="G43"/>
  <c r="F43"/>
  <c r="M42"/>
  <c r="K42"/>
  <c r="I42"/>
  <c r="G42"/>
  <c r="F42"/>
  <c r="M41"/>
  <c r="K41"/>
  <c r="I41"/>
  <c r="G41"/>
  <c r="F41"/>
  <c r="M40"/>
  <c r="K40"/>
  <c r="I40"/>
  <c r="G40"/>
  <c r="F40"/>
  <c r="M39"/>
  <c r="K39"/>
  <c r="I39"/>
  <c r="G39"/>
  <c r="F39"/>
  <c r="M38"/>
  <c r="K38"/>
  <c r="I38"/>
  <c r="G38"/>
  <c r="F38"/>
  <c r="M37"/>
  <c r="K37"/>
  <c r="I37"/>
  <c r="G37"/>
  <c r="F37"/>
  <c r="M36"/>
  <c r="K36"/>
  <c r="I36"/>
  <c r="G36"/>
  <c r="F36"/>
  <c r="M35"/>
  <c r="K35"/>
  <c r="I35"/>
  <c r="G35"/>
  <c r="F35"/>
  <c r="M34"/>
  <c r="K34"/>
  <c r="I34"/>
  <c r="G34"/>
  <c r="F34"/>
  <c r="M33"/>
  <c r="K33"/>
  <c r="I33"/>
  <c r="G33"/>
  <c r="F33"/>
  <c r="M32"/>
  <c r="K32"/>
  <c r="I32"/>
  <c r="G32"/>
  <c r="F32"/>
  <c r="M31"/>
  <c r="K31"/>
  <c r="I31"/>
  <c r="G31"/>
  <c r="F31"/>
  <c r="M30"/>
  <c r="K30"/>
  <c r="I30"/>
  <c r="G30"/>
  <c r="F30"/>
  <c r="M29"/>
  <c r="K29"/>
  <c r="I29"/>
  <c r="G29"/>
  <c r="F29"/>
  <c r="M28"/>
  <c r="K28"/>
  <c r="I28"/>
  <c r="G28"/>
  <c r="F28"/>
  <c r="M27"/>
  <c r="K27"/>
  <c r="I27"/>
  <c r="G27"/>
  <c r="F27"/>
  <c r="M26"/>
  <c r="K26"/>
  <c r="I26"/>
  <c r="G26"/>
  <c r="F26"/>
  <c r="M25"/>
  <c r="K25"/>
  <c r="I25"/>
  <c r="G25"/>
  <c r="F25"/>
  <c r="M24"/>
  <c r="K24"/>
  <c r="I24"/>
  <c r="G24"/>
  <c r="F24"/>
  <c r="M23"/>
  <c r="K23"/>
  <c r="I23"/>
  <c r="G23"/>
  <c r="F23"/>
  <c r="M22"/>
  <c r="K22"/>
  <c r="I22"/>
  <c r="G22"/>
  <c r="F22"/>
  <c r="M21"/>
  <c r="K21"/>
  <c r="I21"/>
  <c r="G21"/>
  <c r="F21"/>
  <c r="M20"/>
  <c r="K20"/>
  <c r="I20"/>
  <c r="G20"/>
  <c r="F20"/>
  <c r="M19"/>
  <c r="K19"/>
  <c r="I19"/>
  <c r="G19"/>
  <c r="F19"/>
  <c r="M18"/>
  <c r="K18"/>
  <c r="I18"/>
  <c r="G18"/>
  <c r="F18"/>
  <c r="M17"/>
  <c r="K17"/>
  <c r="I17"/>
  <c r="G17"/>
  <c r="F17"/>
  <c r="M16"/>
  <c r="K16"/>
  <c r="I16"/>
  <c r="G16"/>
  <c r="F16"/>
  <c r="M15"/>
  <c r="K15"/>
  <c r="I15"/>
  <c r="G15"/>
  <c r="F15"/>
  <c r="M14"/>
  <c r="K14"/>
  <c r="I14"/>
  <c r="G14"/>
  <c r="F14"/>
  <c r="M13"/>
  <c r="K13"/>
  <c r="I13"/>
  <c r="G13"/>
  <c r="F13"/>
  <c r="M12"/>
  <c r="K12"/>
  <c r="I12"/>
  <c r="G12"/>
  <c r="F12"/>
  <c r="M11"/>
  <c r="K11"/>
  <c r="I11"/>
  <c r="G11"/>
  <c r="F11"/>
  <c r="M10"/>
  <c r="K10"/>
  <c r="I10"/>
  <c r="G10"/>
  <c r="F10"/>
  <c r="M9"/>
  <c r="K9"/>
  <c r="I9"/>
  <c r="G9"/>
  <c r="F9"/>
  <c r="M8"/>
  <c r="K8"/>
  <c r="I8"/>
  <c r="G8"/>
  <c r="F8"/>
  <c r="M7"/>
  <c r="K7"/>
  <c r="I7"/>
  <c r="G7"/>
  <c r="F7"/>
  <c r="M6"/>
  <c r="K6"/>
  <c r="I6"/>
  <c r="G6"/>
  <c r="F6"/>
  <c r="M5"/>
  <c r="K5"/>
  <c r="I5"/>
  <c r="G5"/>
  <c r="F5"/>
  <c r="M4"/>
  <c r="K4"/>
  <c r="I4"/>
  <c r="G4"/>
  <c r="F4"/>
  <c r="M3"/>
  <c r="K3"/>
  <c r="I3"/>
  <c r="G3"/>
  <c r="F3"/>
  <c r="M2"/>
  <c r="K2"/>
  <c r="I2"/>
  <c r="I67" s="1"/>
  <c r="G2"/>
  <c r="F2"/>
  <c r="F67" s="1"/>
  <c r="L2" i="3"/>
  <c r="L3"/>
  <c r="L4"/>
  <c r="M4" s="1"/>
  <c r="L5"/>
  <c r="L6"/>
  <c r="L7"/>
  <c r="L8"/>
  <c r="M8" s="1"/>
  <c r="L9"/>
  <c r="L10"/>
  <c r="L11"/>
  <c r="L12"/>
  <c r="M12" s="1"/>
  <c r="L13"/>
  <c r="L14"/>
  <c r="L15"/>
  <c r="L16"/>
  <c r="M16" s="1"/>
  <c r="L17"/>
  <c r="L18"/>
  <c r="L19"/>
  <c r="L20"/>
  <c r="M20" s="1"/>
  <c r="L21"/>
  <c r="L22"/>
  <c r="L23"/>
  <c r="L24"/>
  <c r="M24" s="1"/>
  <c r="L25"/>
  <c r="L26"/>
  <c r="L27"/>
  <c r="L28"/>
  <c r="M28" s="1"/>
  <c r="L29"/>
  <c r="L30"/>
  <c r="L31"/>
  <c r="L32"/>
  <c r="M32" s="1"/>
  <c r="L33"/>
  <c r="L34"/>
  <c r="L35"/>
  <c r="L36"/>
  <c r="M36" s="1"/>
  <c r="L37"/>
  <c r="L38"/>
  <c r="L39"/>
  <c r="L40"/>
  <c r="M40" s="1"/>
  <c r="L41"/>
  <c r="L42"/>
  <c r="L43"/>
  <c r="L44"/>
  <c r="M44" s="1"/>
  <c r="L45"/>
  <c r="L46"/>
  <c r="L47"/>
  <c r="L48"/>
  <c r="M48" s="1"/>
  <c r="L49"/>
  <c r="L50"/>
  <c r="L51"/>
  <c r="L52"/>
  <c r="M52" s="1"/>
  <c r="L53"/>
  <c r="L54"/>
  <c r="L55"/>
  <c r="L56"/>
  <c r="M56" s="1"/>
  <c r="L57"/>
  <c r="L58"/>
  <c r="L60"/>
  <c r="M60" s="1"/>
  <c r="L61"/>
  <c r="L62"/>
  <c r="L63"/>
  <c r="L64"/>
  <c r="M64" s="1"/>
  <c r="L65"/>
  <c r="L66"/>
  <c r="L67" i="4"/>
  <c r="J67"/>
  <c r="E67"/>
  <c r="D67"/>
  <c r="M66"/>
  <c r="K66"/>
  <c r="I66"/>
  <c r="G66"/>
  <c r="F66"/>
  <c r="M65"/>
  <c r="K65"/>
  <c r="I65"/>
  <c r="G65"/>
  <c r="F65"/>
  <c r="M64"/>
  <c r="K64"/>
  <c r="I64"/>
  <c r="G64"/>
  <c r="F64"/>
  <c r="M63"/>
  <c r="K63"/>
  <c r="I63"/>
  <c r="G63"/>
  <c r="F63"/>
  <c r="M62"/>
  <c r="K62"/>
  <c r="I62"/>
  <c r="G62"/>
  <c r="F62"/>
  <c r="M61"/>
  <c r="K61"/>
  <c r="I61"/>
  <c r="G61"/>
  <c r="F61"/>
  <c r="M60"/>
  <c r="K60"/>
  <c r="I60"/>
  <c r="G60"/>
  <c r="F60"/>
  <c r="M59"/>
  <c r="K59"/>
  <c r="I59"/>
  <c r="G59"/>
  <c r="F59"/>
  <c r="M58"/>
  <c r="K58"/>
  <c r="I58"/>
  <c r="G58"/>
  <c r="F58"/>
  <c r="M57"/>
  <c r="K57"/>
  <c r="I57"/>
  <c r="G57"/>
  <c r="F57"/>
  <c r="M56"/>
  <c r="K56"/>
  <c r="I56"/>
  <c r="G56"/>
  <c r="F56"/>
  <c r="M55"/>
  <c r="K55"/>
  <c r="I55"/>
  <c r="G55"/>
  <c r="F55"/>
  <c r="M54"/>
  <c r="K54"/>
  <c r="I54"/>
  <c r="G54"/>
  <c r="F54"/>
  <c r="M53"/>
  <c r="K53"/>
  <c r="I53"/>
  <c r="G53"/>
  <c r="F53"/>
  <c r="M52"/>
  <c r="K52"/>
  <c r="I52"/>
  <c r="G52"/>
  <c r="F52"/>
  <c r="M51"/>
  <c r="K51"/>
  <c r="I51"/>
  <c r="G51"/>
  <c r="F51"/>
  <c r="M50"/>
  <c r="K50"/>
  <c r="I50"/>
  <c r="G50"/>
  <c r="F50"/>
  <c r="M49"/>
  <c r="K49"/>
  <c r="I49"/>
  <c r="G49"/>
  <c r="F49"/>
  <c r="M48"/>
  <c r="K48"/>
  <c r="I48"/>
  <c r="G48"/>
  <c r="F48"/>
  <c r="M47"/>
  <c r="K47"/>
  <c r="I47"/>
  <c r="G47"/>
  <c r="F47"/>
  <c r="M46"/>
  <c r="K46"/>
  <c r="I46"/>
  <c r="G46"/>
  <c r="F46"/>
  <c r="M45"/>
  <c r="K45"/>
  <c r="I45"/>
  <c r="G45"/>
  <c r="F45"/>
  <c r="M44"/>
  <c r="K44"/>
  <c r="I44"/>
  <c r="G44"/>
  <c r="F44"/>
  <c r="M43"/>
  <c r="K43"/>
  <c r="I43"/>
  <c r="G43"/>
  <c r="F43"/>
  <c r="M42"/>
  <c r="K42"/>
  <c r="I42"/>
  <c r="G42"/>
  <c r="F42"/>
  <c r="M41"/>
  <c r="K41"/>
  <c r="I41"/>
  <c r="G41"/>
  <c r="F41"/>
  <c r="M40"/>
  <c r="K40"/>
  <c r="I40"/>
  <c r="G40"/>
  <c r="F40"/>
  <c r="M39"/>
  <c r="K39"/>
  <c r="I39"/>
  <c r="G39"/>
  <c r="F39"/>
  <c r="M38"/>
  <c r="K38"/>
  <c r="I38"/>
  <c r="G38"/>
  <c r="F38"/>
  <c r="M37"/>
  <c r="K37"/>
  <c r="I37"/>
  <c r="G37"/>
  <c r="F37"/>
  <c r="M36"/>
  <c r="K36"/>
  <c r="I36"/>
  <c r="G36"/>
  <c r="F36"/>
  <c r="M35"/>
  <c r="K35"/>
  <c r="I35"/>
  <c r="G35"/>
  <c r="F35"/>
  <c r="M34"/>
  <c r="K34"/>
  <c r="I34"/>
  <c r="G34"/>
  <c r="F34"/>
  <c r="M33"/>
  <c r="K33"/>
  <c r="I33"/>
  <c r="G33"/>
  <c r="F33"/>
  <c r="M32"/>
  <c r="K32"/>
  <c r="I32"/>
  <c r="G32"/>
  <c r="F32"/>
  <c r="M31"/>
  <c r="K31"/>
  <c r="I31"/>
  <c r="G31"/>
  <c r="F31"/>
  <c r="M30"/>
  <c r="K30"/>
  <c r="I30"/>
  <c r="G30"/>
  <c r="F30"/>
  <c r="M29"/>
  <c r="K29"/>
  <c r="I29"/>
  <c r="G29"/>
  <c r="F29"/>
  <c r="M28"/>
  <c r="K28"/>
  <c r="I28"/>
  <c r="G28"/>
  <c r="F28"/>
  <c r="M27"/>
  <c r="K27"/>
  <c r="I27"/>
  <c r="G27"/>
  <c r="F27"/>
  <c r="M26"/>
  <c r="K26"/>
  <c r="I26"/>
  <c r="G26"/>
  <c r="F26"/>
  <c r="M25"/>
  <c r="K25"/>
  <c r="I25"/>
  <c r="G25"/>
  <c r="F25"/>
  <c r="M24"/>
  <c r="K24"/>
  <c r="I24"/>
  <c r="G24"/>
  <c r="F24"/>
  <c r="M23"/>
  <c r="K23"/>
  <c r="I23"/>
  <c r="G23"/>
  <c r="F23"/>
  <c r="M22"/>
  <c r="K22"/>
  <c r="I22"/>
  <c r="G22"/>
  <c r="F22"/>
  <c r="M21"/>
  <c r="K21"/>
  <c r="I21"/>
  <c r="G21"/>
  <c r="F21"/>
  <c r="M20"/>
  <c r="K20"/>
  <c r="I20"/>
  <c r="G20"/>
  <c r="F20"/>
  <c r="M19"/>
  <c r="K19"/>
  <c r="I19"/>
  <c r="G19"/>
  <c r="F19"/>
  <c r="M18"/>
  <c r="K18"/>
  <c r="I18"/>
  <c r="G18"/>
  <c r="F18"/>
  <c r="M17"/>
  <c r="K17"/>
  <c r="I17"/>
  <c r="G17"/>
  <c r="F17"/>
  <c r="M16"/>
  <c r="K16"/>
  <c r="I16"/>
  <c r="G16"/>
  <c r="F16"/>
  <c r="M15"/>
  <c r="K15"/>
  <c r="I15"/>
  <c r="G15"/>
  <c r="F15"/>
  <c r="M14"/>
  <c r="K14"/>
  <c r="I14"/>
  <c r="G14"/>
  <c r="F14"/>
  <c r="M13"/>
  <c r="K13"/>
  <c r="I13"/>
  <c r="G13"/>
  <c r="F13"/>
  <c r="M12"/>
  <c r="K12"/>
  <c r="I12"/>
  <c r="G12"/>
  <c r="F12"/>
  <c r="M11"/>
  <c r="K11"/>
  <c r="I11"/>
  <c r="G11"/>
  <c r="F11"/>
  <c r="M10"/>
  <c r="K10"/>
  <c r="I10"/>
  <c r="G10"/>
  <c r="F10"/>
  <c r="M9"/>
  <c r="K9"/>
  <c r="I9"/>
  <c r="G9"/>
  <c r="F9"/>
  <c r="M8"/>
  <c r="K8"/>
  <c r="I8"/>
  <c r="G8"/>
  <c r="F8"/>
  <c r="M7"/>
  <c r="K7"/>
  <c r="I7"/>
  <c r="G7"/>
  <c r="F7"/>
  <c r="M6"/>
  <c r="K6"/>
  <c r="I6"/>
  <c r="G6"/>
  <c r="F6"/>
  <c r="M5"/>
  <c r="K5"/>
  <c r="I5"/>
  <c r="G5"/>
  <c r="F5"/>
  <c r="M4"/>
  <c r="K4"/>
  <c r="I4"/>
  <c r="G4"/>
  <c r="F4"/>
  <c r="M3"/>
  <c r="K3"/>
  <c r="I3"/>
  <c r="G3"/>
  <c r="F3"/>
  <c r="M2"/>
  <c r="M67" s="1"/>
  <c r="K2"/>
  <c r="I2"/>
  <c r="G2"/>
  <c r="F2"/>
  <c r="F67" s="1"/>
  <c r="L3" i="2"/>
  <c r="M3" s="1"/>
  <c r="L4"/>
  <c r="M4" s="1"/>
  <c r="L5"/>
  <c r="L6"/>
  <c r="L7"/>
  <c r="M7" s="1"/>
  <c r="L8"/>
  <c r="M8" s="1"/>
  <c r="L9"/>
  <c r="L10"/>
  <c r="L11"/>
  <c r="M11" s="1"/>
  <c r="L12"/>
  <c r="M12" s="1"/>
  <c r="L13"/>
  <c r="L14"/>
  <c r="L15"/>
  <c r="M15" s="1"/>
  <c r="L16"/>
  <c r="M16" s="1"/>
  <c r="L17"/>
  <c r="L18"/>
  <c r="L19"/>
  <c r="M19" s="1"/>
  <c r="L20"/>
  <c r="M20" s="1"/>
  <c r="L21"/>
  <c r="L22"/>
  <c r="L23"/>
  <c r="M23" s="1"/>
  <c r="L24"/>
  <c r="M24" s="1"/>
  <c r="L25"/>
  <c r="L26"/>
  <c r="L27"/>
  <c r="M27" s="1"/>
  <c r="L28"/>
  <c r="M28" s="1"/>
  <c r="L29"/>
  <c r="L30"/>
  <c r="L31"/>
  <c r="M31" s="1"/>
  <c r="L32"/>
  <c r="M32" s="1"/>
  <c r="L33"/>
  <c r="L34"/>
  <c r="L35"/>
  <c r="M35" s="1"/>
  <c r="L36"/>
  <c r="M36" s="1"/>
  <c r="L37"/>
  <c r="L38"/>
  <c r="L39"/>
  <c r="M39" s="1"/>
  <c r="L40"/>
  <c r="M40" s="1"/>
  <c r="L41"/>
  <c r="L42"/>
  <c r="L43"/>
  <c r="M43" s="1"/>
  <c r="L44"/>
  <c r="M44" s="1"/>
  <c r="L45"/>
  <c r="L46"/>
  <c r="L47"/>
  <c r="M47" s="1"/>
  <c r="L48"/>
  <c r="M48" s="1"/>
  <c r="L49"/>
  <c r="L50"/>
  <c r="L51"/>
  <c r="M51" s="1"/>
  <c r="L52"/>
  <c r="M52" s="1"/>
  <c r="L53"/>
  <c r="L54"/>
  <c r="L55"/>
  <c r="M55" s="1"/>
  <c r="L56"/>
  <c r="M56" s="1"/>
  <c r="L57"/>
  <c r="L58"/>
  <c r="L59"/>
  <c r="M59" s="1"/>
  <c r="L60"/>
  <c r="M60" s="1"/>
  <c r="L61"/>
  <c r="L62"/>
  <c r="L63"/>
  <c r="M63" s="1"/>
  <c r="L64"/>
  <c r="M64" s="1"/>
  <c r="L65"/>
  <c r="L66"/>
  <c r="L2"/>
  <c r="J67" i="3"/>
  <c r="D67"/>
  <c r="M66"/>
  <c r="K66"/>
  <c r="I66"/>
  <c r="G66"/>
  <c r="F66"/>
  <c r="M65"/>
  <c r="K65"/>
  <c r="I65"/>
  <c r="G65"/>
  <c r="F65"/>
  <c r="K64"/>
  <c r="I64"/>
  <c r="G64"/>
  <c r="F64"/>
  <c r="M63"/>
  <c r="K63"/>
  <c r="I63"/>
  <c r="G63"/>
  <c r="F63"/>
  <c r="M62"/>
  <c r="K62"/>
  <c r="I62"/>
  <c r="G62"/>
  <c r="F62"/>
  <c r="M61"/>
  <c r="K61"/>
  <c r="I61"/>
  <c r="G61"/>
  <c r="F61"/>
  <c r="K60"/>
  <c r="I60"/>
  <c r="G60"/>
  <c r="F60"/>
  <c r="K59"/>
  <c r="I59"/>
  <c r="G59"/>
  <c r="L59" s="1"/>
  <c r="M59" s="1"/>
  <c r="F59"/>
  <c r="M58"/>
  <c r="K58"/>
  <c r="I58"/>
  <c r="G58"/>
  <c r="F58"/>
  <c r="M57"/>
  <c r="K57"/>
  <c r="I57"/>
  <c r="G57"/>
  <c r="F57"/>
  <c r="K56"/>
  <c r="I56"/>
  <c r="G56"/>
  <c r="F56"/>
  <c r="M55"/>
  <c r="K55"/>
  <c r="I55"/>
  <c r="F55"/>
  <c r="G55"/>
  <c r="M54"/>
  <c r="K54"/>
  <c r="I54"/>
  <c r="G54"/>
  <c r="F54"/>
  <c r="M53"/>
  <c r="K53"/>
  <c r="I53"/>
  <c r="G53"/>
  <c r="F53"/>
  <c r="K52"/>
  <c r="I52"/>
  <c r="G52"/>
  <c r="F52"/>
  <c r="M51"/>
  <c r="K51"/>
  <c r="I51"/>
  <c r="G51"/>
  <c r="F51"/>
  <c r="M50"/>
  <c r="K50"/>
  <c r="I50"/>
  <c r="G50"/>
  <c r="F50"/>
  <c r="M49"/>
  <c r="K49"/>
  <c r="I49"/>
  <c r="G49"/>
  <c r="F49"/>
  <c r="K48"/>
  <c r="I48"/>
  <c r="G48"/>
  <c r="F48"/>
  <c r="M47"/>
  <c r="K47"/>
  <c r="I47"/>
  <c r="G47"/>
  <c r="F47"/>
  <c r="M46"/>
  <c r="K46"/>
  <c r="I46"/>
  <c r="G46"/>
  <c r="F46"/>
  <c r="M45"/>
  <c r="K45"/>
  <c r="I45"/>
  <c r="G45"/>
  <c r="F45"/>
  <c r="K44"/>
  <c r="I44"/>
  <c r="G44"/>
  <c r="F44"/>
  <c r="M43"/>
  <c r="K43"/>
  <c r="I43"/>
  <c r="G43"/>
  <c r="F43"/>
  <c r="M42"/>
  <c r="K42"/>
  <c r="I42"/>
  <c r="G42"/>
  <c r="F42"/>
  <c r="M41"/>
  <c r="K41"/>
  <c r="I41"/>
  <c r="G41"/>
  <c r="F41"/>
  <c r="K40"/>
  <c r="I40"/>
  <c r="G40"/>
  <c r="F40"/>
  <c r="M39"/>
  <c r="K39"/>
  <c r="I39"/>
  <c r="G39"/>
  <c r="F39"/>
  <c r="M38"/>
  <c r="K38"/>
  <c r="I38"/>
  <c r="G38"/>
  <c r="F38"/>
  <c r="M37"/>
  <c r="K37"/>
  <c r="I37"/>
  <c r="G37"/>
  <c r="F37"/>
  <c r="K36"/>
  <c r="I36"/>
  <c r="G36"/>
  <c r="F36"/>
  <c r="M35"/>
  <c r="K35"/>
  <c r="I35"/>
  <c r="G35"/>
  <c r="F35"/>
  <c r="M34"/>
  <c r="K34"/>
  <c r="I34"/>
  <c r="G34"/>
  <c r="F34"/>
  <c r="M33"/>
  <c r="K33"/>
  <c r="I33"/>
  <c r="G33"/>
  <c r="F33"/>
  <c r="K32"/>
  <c r="I32"/>
  <c r="G32"/>
  <c r="F32"/>
  <c r="M31"/>
  <c r="K31"/>
  <c r="I31"/>
  <c r="G31"/>
  <c r="F31"/>
  <c r="M30"/>
  <c r="K30"/>
  <c r="I30"/>
  <c r="G30"/>
  <c r="F30"/>
  <c r="M29"/>
  <c r="K29"/>
  <c r="I29"/>
  <c r="G29"/>
  <c r="F29"/>
  <c r="K28"/>
  <c r="I28"/>
  <c r="G28"/>
  <c r="F28"/>
  <c r="M27"/>
  <c r="K27"/>
  <c r="I27"/>
  <c r="G27"/>
  <c r="F27"/>
  <c r="M26"/>
  <c r="K26"/>
  <c r="I26"/>
  <c r="G26"/>
  <c r="F26"/>
  <c r="M25"/>
  <c r="K25"/>
  <c r="I25"/>
  <c r="G25"/>
  <c r="F25"/>
  <c r="K24"/>
  <c r="I24"/>
  <c r="G24"/>
  <c r="F24"/>
  <c r="M23"/>
  <c r="K23"/>
  <c r="I23"/>
  <c r="G23"/>
  <c r="F23"/>
  <c r="M22"/>
  <c r="K22"/>
  <c r="I22"/>
  <c r="G22"/>
  <c r="F22"/>
  <c r="M21"/>
  <c r="K21"/>
  <c r="I21"/>
  <c r="G21"/>
  <c r="F21"/>
  <c r="K20"/>
  <c r="I20"/>
  <c r="G20"/>
  <c r="F20"/>
  <c r="M19"/>
  <c r="K19"/>
  <c r="I19"/>
  <c r="G19"/>
  <c r="F19"/>
  <c r="M18"/>
  <c r="K18"/>
  <c r="I18"/>
  <c r="G18"/>
  <c r="F18"/>
  <c r="M17"/>
  <c r="K17"/>
  <c r="I17"/>
  <c r="G17"/>
  <c r="F17"/>
  <c r="K16"/>
  <c r="I16"/>
  <c r="G16"/>
  <c r="F16"/>
  <c r="M15"/>
  <c r="K15"/>
  <c r="I15"/>
  <c r="G15"/>
  <c r="F15"/>
  <c r="M14"/>
  <c r="K14"/>
  <c r="I14"/>
  <c r="G14"/>
  <c r="F14"/>
  <c r="M13"/>
  <c r="K13"/>
  <c r="I13"/>
  <c r="G13"/>
  <c r="F13"/>
  <c r="K12"/>
  <c r="I12"/>
  <c r="G12"/>
  <c r="F12"/>
  <c r="M11"/>
  <c r="K11"/>
  <c r="I11"/>
  <c r="G11"/>
  <c r="F11"/>
  <c r="M10"/>
  <c r="K10"/>
  <c r="I10"/>
  <c r="G10"/>
  <c r="F10"/>
  <c r="M9"/>
  <c r="K9"/>
  <c r="I9"/>
  <c r="G9"/>
  <c r="F9"/>
  <c r="K8"/>
  <c r="I8"/>
  <c r="G8"/>
  <c r="F8"/>
  <c r="M7"/>
  <c r="K7"/>
  <c r="I7"/>
  <c r="G7"/>
  <c r="F7"/>
  <c r="M6"/>
  <c r="K6"/>
  <c r="I6"/>
  <c r="G6"/>
  <c r="F6"/>
  <c r="M5"/>
  <c r="K5"/>
  <c r="I5"/>
  <c r="G5"/>
  <c r="F5"/>
  <c r="K4"/>
  <c r="I4"/>
  <c r="G4"/>
  <c r="F4"/>
  <c r="M3"/>
  <c r="K3"/>
  <c r="I3"/>
  <c r="G3"/>
  <c r="F3"/>
  <c r="K2"/>
  <c r="I2"/>
  <c r="G2"/>
  <c r="E67"/>
  <c r="L3" i="1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2"/>
  <c r="E55" i="2"/>
  <c r="E2"/>
  <c r="F2" s="1"/>
  <c r="J67"/>
  <c r="E67"/>
  <c r="D67"/>
  <c r="M66"/>
  <c r="K66"/>
  <c r="I66"/>
  <c r="G66"/>
  <c r="F66"/>
  <c r="M65"/>
  <c r="K65"/>
  <c r="I65"/>
  <c r="G65"/>
  <c r="F65"/>
  <c r="K64"/>
  <c r="I64"/>
  <c r="G64"/>
  <c r="F64"/>
  <c r="K63"/>
  <c r="I63"/>
  <c r="G63"/>
  <c r="F63"/>
  <c r="M62"/>
  <c r="K62"/>
  <c r="I62"/>
  <c r="G62"/>
  <c r="F62"/>
  <c r="M61"/>
  <c r="K61"/>
  <c r="I61"/>
  <c r="G61"/>
  <c r="F61"/>
  <c r="K60"/>
  <c r="I60"/>
  <c r="G60"/>
  <c r="F60"/>
  <c r="K59"/>
  <c r="I59"/>
  <c r="G59"/>
  <c r="F59"/>
  <c r="M58"/>
  <c r="K58"/>
  <c r="I58"/>
  <c r="G58"/>
  <c r="F58"/>
  <c r="M57"/>
  <c r="K57"/>
  <c r="I57"/>
  <c r="G57"/>
  <c r="F57"/>
  <c r="K56"/>
  <c r="I56"/>
  <c r="G56"/>
  <c r="F56"/>
  <c r="K55"/>
  <c r="I55"/>
  <c r="G55"/>
  <c r="F55"/>
  <c r="M54"/>
  <c r="K54"/>
  <c r="I54"/>
  <c r="G54"/>
  <c r="F54"/>
  <c r="M53"/>
  <c r="K53"/>
  <c r="I53"/>
  <c r="G53"/>
  <c r="F53"/>
  <c r="K52"/>
  <c r="I52"/>
  <c r="G52"/>
  <c r="F52"/>
  <c r="K51"/>
  <c r="I51"/>
  <c r="G51"/>
  <c r="F51"/>
  <c r="M50"/>
  <c r="K50"/>
  <c r="I50"/>
  <c r="G50"/>
  <c r="F50"/>
  <c r="M49"/>
  <c r="K49"/>
  <c r="I49"/>
  <c r="G49"/>
  <c r="F49"/>
  <c r="K48"/>
  <c r="I48"/>
  <c r="G48"/>
  <c r="F48"/>
  <c r="K47"/>
  <c r="I47"/>
  <c r="G47"/>
  <c r="F47"/>
  <c r="M46"/>
  <c r="K46"/>
  <c r="I46"/>
  <c r="G46"/>
  <c r="F46"/>
  <c r="M45"/>
  <c r="K45"/>
  <c r="I45"/>
  <c r="G45"/>
  <c r="F45"/>
  <c r="K44"/>
  <c r="I44"/>
  <c r="G44"/>
  <c r="F44"/>
  <c r="K43"/>
  <c r="I43"/>
  <c r="G43"/>
  <c r="F43"/>
  <c r="M42"/>
  <c r="K42"/>
  <c r="I42"/>
  <c r="G42"/>
  <c r="F42"/>
  <c r="M41"/>
  <c r="K41"/>
  <c r="I41"/>
  <c r="G41"/>
  <c r="F41"/>
  <c r="K40"/>
  <c r="I40"/>
  <c r="G40"/>
  <c r="F40"/>
  <c r="K39"/>
  <c r="I39"/>
  <c r="G39"/>
  <c r="F39"/>
  <c r="M38"/>
  <c r="K38"/>
  <c r="I38"/>
  <c r="G38"/>
  <c r="F38"/>
  <c r="M37"/>
  <c r="K37"/>
  <c r="I37"/>
  <c r="G37"/>
  <c r="F37"/>
  <c r="K36"/>
  <c r="I36"/>
  <c r="G36"/>
  <c r="F36"/>
  <c r="K35"/>
  <c r="I35"/>
  <c r="G35"/>
  <c r="F35"/>
  <c r="M34"/>
  <c r="K34"/>
  <c r="I34"/>
  <c r="G34"/>
  <c r="F34"/>
  <c r="M33"/>
  <c r="K33"/>
  <c r="I33"/>
  <c r="G33"/>
  <c r="F33"/>
  <c r="K32"/>
  <c r="I32"/>
  <c r="G32"/>
  <c r="F32"/>
  <c r="K31"/>
  <c r="I31"/>
  <c r="G31"/>
  <c r="F31"/>
  <c r="M30"/>
  <c r="K30"/>
  <c r="I30"/>
  <c r="G30"/>
  <c r="F30"/>
  <c r="M29"/>
  <c r="K29"/>
  <c r="I29"/>
  <c r="G29"/>
  <c r="F29"/>
  <c r="K28"/>
  <c r="I28"/>
  <c r="G28"/>
  <c r="F28"/>
  <c r="K27"/>
  <c r="I27"/>
  <c r="G27"/>
  <c r="F27"/>
  <c r="M26"/>
  <c r="K26"/>
  <c r="I26"/>
  <c r="G26"/>
  <c r="F26"/>
  <c r="M25"/>
  <c r="K25"/>
  <c r="I25"/>
  <c r="G25"/>
  <c r="F25"/>
  <c r="K24"/>
  <c r="I24"/>
  <c r="G24"/>
  <c r="F24"/>
  <c r="K23"/>
  <c r="I23"/>
  <c r="G23"/>
  <c r="F23"/>
  <c r="M22"/>
  <c r="K22"/>
  <c r="I22"/>
  <c r="G22"/>
  <c r="F22"/>
  <c r="M21"/>
  <c r="K21"/>
  <c r="I21"/>
  <c r="G21"/>
  <c r="F21"/>
  <c r="K20"/>
  <c r="I20"/>
  <c r="G20"/>
  <c r="F20"/>
  <c r="K19"/>
  <c r="I19"/>
  <c r="G19"/>
  <c r="F19"/>
  <c r="M18"/>
  <c r="K18"/>
  <c r="I18"/>
  <c r="G18"/>
  <c r="F18"/>
  <c r="M17"/>
  <c r="K17"/>
  <c r="I17"/>
  <c r="G17"/>
  <c r="F17"/>
  <c r="K16"/>
  <c r="I16"/>
  <c r="G16"/>
  <c r="F16"/>
  <c r="K15"/>
  <c r="I15"/>
  <c r="G15"/>
  <c r="F15"/>
  <c r="M14"/>
  <c r="K14"/>
  <c r="I14"/>
  <c r="G14"/>
  <c r="F14"/>
  <c r="M13"/>
  <c r="K13"/>
  <c r="I13"/>
  <c r="G13"/>
  <c r="F13"/>
  <c r="K12"/>
  <c r="I12"/>
  <c r="G12"/>
  <c r="F12"/>
  <c r="K11"/>
  <c r="I11"/>
  <c r="G11"/>
  <c r="F11"/>
  <c r="M10"/>
  <c r="K10"/>
  <c r="I10"/>
  <c r="G10"/>
  <c r="F10"/>
  <c r="M9"/>
  <c r="K9"/>
  <c r="I9"/>
  <c r="G9"/>
  <c r="F9"/>
  <c r="K8"/>
  <c r="I8"/>
  <c r="G8"/>
  <c r="F8"/>
  <c r="K7"/>
  <c r="I7"/>
  <c r="G7"/>
  <c r="F7"/>
  <c r="M6"/>
  <c r="K6"/>
  <c r="I6"/>
  <c r="G6"/>
  <c r="F6"/>
  <c r="M5"/>
  <c r="K5"/>
  <c r="I5"/>
  <c r="G5"/>
  <c r="F5"/>
  <c r="K4"/>
  <c r="I4"/>
  <c r="G4"/>
  <c r="F4"/>
  <c r="K3"/>
  <c r="I3"/>
  <c r="G3"/>
  <c r="F3"/>
  <c r="M2"/>
  <c r="K2"/>
  <c r="I2"/>
  <c r="G2"/>
  <c r="M67" i="6" l="1"/>
  <c r="M59" i="5"/>
  <c r="G67"/>
  <c r="K67"/>
  <c r="L67" i="2"/>
  <c r="M67" i="5"/>
  <c r="K67" i="6"/>
  <c r="G67"/>
  <c r="I67"/>
  <c r="L67" i="3"/>
  <c r="M67"/>
  <c r="M2"/>
  <c r="K67" i="4"/>
  <c r="I67"/>
  <c r="G67"/>
  <c r="M67" i="2"/>
  <c r="K67" i="3"/>
  <c r="I67"/>
  <c r="G67"/>
  <c r="F2"/>
  <c r="F67" s="1"/>
  <c r="F67" i="2"/>
  <c r="K67"/>
  <c r="G67"/>
  <c r="I67"/>
  <c r="M17" i="1" l="1"/>
  <c r="K17"/>
  <c r="I17"/>
  <c r="G17"/>
  <c r="F17"/>
  <c r="M18"/>
  <c r="K18"/>
  <c r="I18"/>
  <c r="G18"/>
  <c r="F18"/>
  <c r="M48" l="1"/>
  <c r="K48"/>
  <c r="I48"/>
  <c r="G48"/>
  <c r="F48"/>
  <c r="F35"/>
  <c r="G35"/>
  <c r="I35"/>
  <c r="K35"/>
  <c r="M35"/>
  <c r="F36"/>
  <c r="G36"/>
  <c r="I36"/>
  <c r="K36"/>
  <c r="M36"/>
  <c r="F37"/>
  <c r="G37"/>
  <c r="I37"/>
  <c r="K37"/>
  <c r="M37"/>
  <c r="F38"/>
  <c r="G38"/>
  <c r="I38"/>
  <c r="K38"/>
  <c r="M38"/>
  <c r="F39"/>
  <c r="G39"/>
  <c r="I39"/>
  <c r="K39"/>
  <c r="M39"/>
  <c r="F41"/>
  <c r="G41"/>
  <c r="I41"/>
  <c r="K41"/>
  <c r="M41"/>
  <c r="F42"/>
  <c r="G42"/>
  <c r="I42"/>
  <c r="K42"/>
  <c r="M42"/>
  <c r="L67"/>
  <c r="J67"/>
  <c r="E67"/>
  <c r="D67"/>
  <c r="M66"/>
  <c r="K66"/>
  <c r="I66"/>
  <c r="G66"/>
  <c r="F66"/>
  <c r="M65"/>
  <c r="K65"/>
  <c r="I65"/>
  <c r="G65"/>
  <c r="F65"/>
  <c r="M64"/>
  <c r="K64"/>
  <c r="I64"/>
  <c r="G64"/>
  <c r="F64"/>
  <c r="M63"/>
  <c r="K63"/>
  <c r="I63"/>
  <c r="G63"/>
  <c r="F63"/>
  <c r="M62"/>
  <c r="K62"/>
  <c r="I62"/>
  <c r="G62"/>
  <c r="F62"/>
  <c r="M61"/>
  <c r="K61"/>
  <c r="I61"/>
  <c r="G61"/>
  <c r="F61"/>
  <c r="M60"/>
  <c r="K60"/>
  <c r="I60"/>
  <c r="G60"/>
  <c r="F60"/>
  <c r="M59"/>
  <c r="K59"/>
  <c r="I59"/>
  <c r="G59"/>
  <c r="F59"/>
  <c r="M58"/>
  <c r="K58"/>
  <c r="I58"/>
  <c r="G58"/>
  <c r="F58"/>
  <c r="M57"/>
  <c r="K57"/>
  <c r="I57"/>
  <c r="G57"/>
  <c r="F57"/>
  <c r="M56"/>
  <c r="K56"/>
  <c r="I56"/>
  <c r="G56"/>
  <c r="F56"/>
  <c r="M55"/>
  <c r="K55"/>
  <c r="I55"/>
  <c r="G55"/>
  <c r="F55"/>
  <c r="M54"/>
  <c r="K54"/>
  <c r="I54"/>
  <c r="G54"/>
  <c r="F54"/>
  <c r="M53"/>
  <c r="K53"/>
  <c r="I53"/>
  <c r="G53"/>
  <c r="F53"/>
  <c r="M52"/>
  <c r="K52"/>
  <c r="I52"/>
  <c r="G52"/>
  <c r="F52"/>
  <c r="M51"/>
  <c r="K51"/>
  <c r="I51"/>
  <c r="G51"/>
  <c r="F51"/>
  <c r="M50"/>
  <c r="K50"/>
  <c r="I50"/>
  <c r="G50"/>
  <c r="F50"/>
  <c r="M49"/>
  <c r="K49"/>
  <c r="I49"/>
  <c r="G49"/>
  <c r="F49"/>
  <c r="M47"/>
  <c r="K47"/>
  <c r="I47"/>
  <c r="G47"/>
  <c r="F47"/>
  <c r="M46"/>
  <c r="K46"/>
  <c r="I46"/>
  <c r="G46"/>
  <c r="F46"/>
  <c r="M45"/>
  <c r="K45"/>
  <c r="I45"/>
  <c r="G45"/>
  <c r="F45"/>
  <c r="M44"/>
  <c r="K44"/>
  <c r="I44"/>
  <c r="G44"/>
  <c r="F44"/>
  <c r="M43"/>
  <c r="K43"/>
  <c r="I43"/>
  <c r="G43"/>
  <c r="F43"/>
  <c r="M40"/>
  <c r="K40"/>
  <c r="I40"/>
  <c r="G40"/>
  <c r="F40"/>
  <c r="M34"/>
  <c r="K34"/>
  <c r="I34"/>
  <c r="G34"/>
  <c r="F34"/>
  <c r="M33"/>
  <c r="K33"/>
  <c r="I33"/>
  <c r="G33"/>
  <c r="F33"/>
  <c r="M32"/>
  <c r="K32"/>
  <c r="I32"/>
  <c r="G32"/>
  <c r="F32"/>
  <c r="M31"/>
  <c r="K31"/>
  <c r="I31"/>
  <c r="G31"/>
  <c r="F31"/>
  <c r="M30"/>
  <c r="K30"/>
  <c r="I30"/>
  <c r="G30"/>
  <c r="F30"/>
  <c r="M29"/>
  <c r="K29"/>
  <c r="I29"/>
  <c r="G29"/>
  <c r="F29"/>
  <c r="M28"/>
  <c r="K28"/>
  <c r="I28"/>
  <c r="G28"/>
  <c r="F28"/>
  <c r="M27"/>
  <c r="K27"/>
  <c r="I27"/>
  <c r="G27"/>
  <c r="F27"/>
  <c r="M26"/>
  <c r="K26"/>
  <c r="I26"/>
  <c r="G26"/>
  <c r="F26"/>
  <c r="M25"/>
  <c r="K25"/>
  <c r="I25"/>
  <c r="G25"/>
  <c r="F25"/>
  <c r="M24"/>
  <c r="K24"/>
  <c r="I24"/>
  <c r="G24"/>
  <c r="F24"/>
  <c r="M23"/>
  <c r="K23"/>
  <c r="I23"/>
  <c r="G23"/>
  <c r="F23"/>
  <c r="M22"/>
  <c r="K22"/>
  <c r="I22"/>
  <c r="G22"/>
  <c r="F22"/>
  <c r="M21"/>
  <c r="K21"/>
  <c r="I21"/>
  <c r="G21"/>
  <c r="F21"/>
  <c r="M20"/>
  <c r="K20"/>
  <c r="I20"/>
  <c r="G20"/>
  <c r="F20"/>
  <c r="M19"/>
  <c r="K19"/>
  <c r="I19"/>
  <c r="G19"/>
  <c r="F19"/>
  <c r="M16"/>
  <c r="K16"/>
  <c r="I16"/>
  <c r="G16"/>
  <c r="F16"/>
  <c r="M15"/>
  <c r="K15"/>
  <c r="I15"/>
  <c r="G15"/>
  <c r="F15"/>
  <c r="M14"/>
  <c r="K14"/>
  <c r="I14"/>
  <c r="G14"/>
  <c r="F14"/>
  <c r="M13"/>
  <c r="K13"/>
  <c r="I13"/>
  <c r="G13"/>
  <c r="F13"/>
  <c r="M12"/>
  <c r="K12"/>
  <c r="I12"/>
  <c r="G12"/>
  <c r="F12"/>
  <c r="M11"/>
  <c r="K11"/>
  <c r="I11"/>
  <c r="G11"/>
  <c r="F11"/>
  <c r="M10"/>
  <c r="K10"/>
  <c r="I10"/>
  <c r="G10"/>
  <c r="F10"/>
  <c r="M9"/>
  <c r="K9"/>
  <c r="I9"/>
  <c r="G9"/>
  <c r="F9"/>
  <c r="M8"/>
  <c r="K8"/>
  <c r="I8"/>
  <c r="G8"/>
  <c r="F8"/>
  <c r="M7"/>
  <c r="K7"/>
  <c r="I7"/>
  <c r="G7"/>
  <c r="F7"/>
  <c r="M6"/>
  <c r="K6"/>
  <c r="I6"/>
  <c r="G6"/>
  <c r="F6"/>
  <c r="M5"/>
  <c r="K5"/>
  <c r="I5"/>
  <c r="G5"/>
  <c r="F5"/>
  <c r="M4"/>
  <c r="K4"/>
  <c r="I4"/>
  <c r="G4"/>
  <c r="F4"/>
  <c r="M3"/>
  <c r="K3"/>
  <c r="I3"/>
  <c r="G3"/>
  <c r="F3"/>
  <c r="M2"/>
  <c r="K2"/>
  <c r="I2"/>
  <c r="G2"/>
  <c r="F2"/>
  <c r="M67" l="1"/>
  <c r="F67"/>
  <c r="G67"/>
  <c r="K67"/>
  <c r="I67"/>
</calcChain>
</file>

<file path=xl/sharedStrings.xml><?xml version="1.0" encoding="utf-8"?>
<sst xmlns="http://schemas.openxmlformats.org/spreadsheetml/2006/main" count="3204" uniqueCount="56">
  <si>
    <t>Pack</t>
  </si>
  <si>
    <t>Flavour</t>
  </si>
  <si>
    <t>MRP</t>
  </si>
  <si>
    <t>Stock PC</t>
  </si>
  <si>
    <t>Recived pc</t>
  </si>
  <si>
    <t>Recived invoice</t>
  </si>
  <si>
    <t>Total PC</t>
  </si>
  <si>
    <t>Invoce cost</t>
  </si>
  <si>
    <t>Amount</t>
  </si>
  <si>
    <t>sale price</t>
  </si>
  <si>
    <t>SALE Pc</t>
  </si>
  <si>
    <t>SALE Amount</t>
  </si>
  <si>
    <t>150 ml Tetra</t>
  </si>
  <si>
    <t>Mazza</t>
  </si>
  <si>
    <t xml:space="preserve">MM Apple </t>
  </si>
  <si>
    <t>MM LMN Fresh</t>
  </si>
  <si>
    <t>200 ml RGB</t>
  </si>
  <si>
    <t>Thums up</t>
  </si>
  <si>
    <t>Sprite</t>
  </si>
  <si>
    <t>Limca</t>
  </si>
  <si>
    <t>Fanta</t>
  </si>
  <si>
    <t>Coke</t>
  </si>
  <si>
    <t>250 ml PET</t>
  </si>
  <si>
    <t>Thums up Charge</t>
  </si>
  <si>
    <t>Zero Thums up</t>
  </si>
  <si>
    <t>Zero Sprite</t>
  </si>
  <si>
    <t>Zero Coke</t>
  </si>
  <si>
    <t>MM Pulpy orange</t>
  </si>
  <si>
    <t>RimZim Fiz</t>
  </si>
  <si>
    <t>Kinley Soda</t>
  </si>
  <si>
    <t>300 ml RGB</t>
  </si>
  <si>
    <t>300 ml CAN</t>
  </si>
  <si>
    <t>D'Coke</t>
  </si>
  <si>
    <t>Predator</t>
  </si>
  <si>
    <t xml:space="preserve">300 ml </t>
  </si>
  <si>
    <t>Kinley Water</t>
  </si>
  <si>
    <t>350 ml CAN</t>
  </si>
  <si>
    <t>Monster</t>
  </si>
  <si>
    <t>400 ml csd</t>
  </si>
  <si>
    <t xml:space="preserve">500 ml </t>
  </si>
  <si>
    <t>600 ml PET</t>
  </si>
  <si>
    <t>740 ml</t>
  </si>
  <si>
    <t>750 ml</t>
  </si>
  <si>
    <t>1 ltr PET</t>
  </si>
  <si>
    <t>MM Pulpy  orange</t>
  </si>
  <si>
    <t xml:space="preserve">1 ltr </t>
  </si>
  <si>
    <t>1.2 ltr</t>
  </si>
  <si>
    <t>1.25 Ltr PET</t>
  </si>
  <si>
    <t>1.75 ltr</t>
  </si>
  <si>
    <t>2 ltr</t>
  </si>
  <si>
    <t>1.5 ltr PET</t>
  </si>
  <si>
    <t>2.25 Ltr PET</t>
  </si>
  <si>
    <t>Total   Cases  &amp;  Amount</t>
  </si>
  <si>
    <t xml:space="preserve">                                   </t>
  </si>
  <si>
    <t>850 ml</t>
  </si>
  <si>
    <t>330 ml CAN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</si>
</sst>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/>
    <xf numFmtId="4" fontId="0" fillId="0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" fontId="0" fillId="0" borderId="1" xfId="0" applyNumberFormat="1" applyFill="1" applyBorder="1"/>
    <xf numFmtId="4" fontId="0" fillId="0" borderId="1" xfId="0" applyNumberFormat="1" applyBorder="1"/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/>
    <xf numFmtId="4" fontId="0" fillId="3" borderId="1" xfId="0" applyNumberFormat="1" applyFill="1" applyBorder="1"/>
    <xf numFmtId="0" fontId="0" fillId="4" borderId="1" xfId="0" applyFill="1" applyBorder="1" applyAlignment="1">
      <alignment horizontal="center"/>
    </xf>
    <xf numFmtId="2" fontId="0" fillId="3" borderId="1" xfId="0" applyNumberFormat="1" applyFill="1" applyBorder="1"/>
    <xf numFmtId="1" fontId="0" fillId="4" borderId="1" xfId="0" applyNumberFormat="1" applyFill="1" applyBorder="1" applyAlignment="1">
      <alignment horizontal="center"/>
    </xf>
    <xf numFmtId="4" fontId="0" fillId="4" borderId="1" xfId="0" applyNumberFormat="1" applyFill="1" applyBorder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" fontId="0" fillId="0" borderId="1" xfId="0" applyNumberFormat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4" fontId="0" fillId="0" borderId="0" xfId="0" applyNumberFormat="1" applyFill="1" applyBorder="1" applyAlignme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"/>
  <sheetViews>
    <sheetView topLeftCell="A57" workbookViewId="0">
      <selection activeCell="O59" sqref="O59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167</v>
      </c>
      <c r="E2" s="11"/>
      <c r="F2" s="9">
        <f>E2*H2</f>
        <v>0</v>
      </c>
      <c r="G2" s="11">
        <f>D2+E2</f>
        <v>167</v>
      </c>
      <c r="H2" s="12">
        <v>308.13</v>
      </c>
      <c r="I2" s="13">
        <f>H2*D2</f>
        <v>51457.71</v>
      </c>
      <c r="J2" s="14">
        <v>326</v>
      </c>
      <c r="K2" s="13">
        <f>J2*D2</f>
        <v>54442</v>
      </c>
      <c r="L2" s="11">
        <f>G2-'2'!D2</f>
        <v>0</v>
      </c>
      <c r="M2" s="13">
        <f>L2*J2</f>
        <v>0</v>
      </c>
    </row>
    <row r="3" spans="1:13">
      <c r="A3" s="7" t="s">
        <v>12</v>
      </c>
      <c r="B3" s="8" t="s">
        <v>14</v>
      </c>
      <c r="C3" s="9">
        <v>9</v>
      </c>
      <c r="D3" s="10">
        <v>1</v>
      </c>
      <c r="E3" s="11">
        <v>70</v>
      </c>
      <c r="F3" s="9">
        <f t="shared" ref="F3:F23" si="0">E3*H3</f>
        <v>21573.3</v>
      </c>
      <c r="G3" s="11">
        <f t="shared" ref="G3:G23" si="1">D3+E3</f>
        <v>71</v>
      </c>
      <c r="H3" s="12">
        <v>308.19</v>
      </c>
      <c r="I3" s="13">
        <f t="shared" ref="I3:I23" si="2">H3*D3</f>
        <v>308.19</v>
      </c>
      <c r="J3" s="14">
        <v>326</v>
      </c>
      <c r="K3" s="13">
        <f t="shared" ref="K3:K23" si="3">J3*D3</f>
        <v>326</v>
      </c>
      <c r="L3" s="11">
        <f>G3-'2'!D3</f>
        <v>0</v>
      </c>
      <c r="M3" s="13">
        <f t="shared" ref="M3:M23" si="4">L3*J3</f>
        <v>0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f>G4-'2'!D4</f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99</v>
      </c>
      <c r="E5" s="11"/>
      <c r="F5" s="9">
        <f t="shared" si="0"/>
        <v>0</v>
      </c>
      <c r="G5" s="11">
        <f t="shared" si="1"/>
        <v>99</v>
      </c>
      <c r="H5" s="12">
        <v>174.77</v>
      </c>
      <c r="I5" s="13">
        <f t="shared" si="2"/>
        <v>17302.23</v>
      </c>
      <c r="J5" s="14">
        <v>192</v>
      </c>
      <c r="K5" s="13">
        <f t="shared" si="3"/>
        <v>19008</v>
      </c>
      <c r="L5" s="11">
        <f>G5-'2'!D5</f>
        <v>0</v>
      </c>
      <c r="M5" s="13">
        <f t="shared" si="4"/>
        <v>0</v>
      </c>
    </row>
    <row r="6" spans="1:13">
      <c r="A6" s="7" t="s">
        <v>16</v>
      </c>
      <c r="B6" s="8" t="s">
        <v>18</v>
      </c>
      <c r="C6" s="9">
        <v>10</v>
      </c>
      <c r="D6" s="10">
        <v>151</v>
      </c>
      <c r="E6" s="11"/>
      <c r="F6" s="9">
        <f t="shared" si="0"/>
        <v>0</v>
      </c>
      <c r="G6" s="11">
        <f t="shared" si="1"/>
        <v>151</v>
      </c>
      <c r="H6" s="12">
        <v>174.77</v>
      </c>
      <c r="I6" s="13">
        <f t="shared" si="2"/>
        <v>26390.27</v>
      </c>
      <c r="J6" s="14">
        <v>192</v>
      </c>
      <c r="K6" s="13">
        <f t="shared" si="3"/>
        <v>28992</v>
      </c>
      <c r="L6" s="11">
        <f>G6-'2'!D6</f>
        <v>0</v>
      </c>
      <c r="M6" s="13">
        <f t="shared" si="4"/>
        <v>0</v>
      </c>
    </row>
    <row r="7" spans="1:13">
      <c r="A7" s="7" t="s">
        <v>16</v>
      </c>
      <c r="B7" s="8" t="s">
        <v>19</v>
      </c>
      <c r="C7" s="9">
        <v>10</v>
      </c>
      <c r="D7" s="10">
        <v>64</v>
      </c>
      <c r="E7" s="11"/>
      <c r="F7" s="9">
        <f t="shared" si="0"/>
        <v>0</v>
      </c>
      <c r="G7" s="11">
        <f t="shared" si="1"/>
        <v>64</v>
      </c>
      <c r="H7" s="12">
        <v>174.77</v>
      </c>
      <c r="I7" s="13">
        <f t="shared" si="2"/>
        <v>11185.28</v>
      </c>
      <c r="J7" s="14">
        <v>192</v>
      </c>
      <c r="K7" s="13">
        <f t="shared" si="3"/>
        <v>12288</v>
      </c>
      <c r="L7" s="11">
        <f>G7-'2'!D7</f>
        <v>0</v>
      </c>
      <c r="M7" s="13">
        <f t="shared" si="4"/>
        <v>0</v>
      </c>
    </row>
    <row r="8" spans="1:13">
      <c r="A8" s="7" t="s">
        <v>16</v>
      </c>
      <c r="B8" s="8" t="s">
        <v>20</v>
      </c>
      <c r="C8" s="9">
        <v>10</v>
      </c>
      <c r="D8" s="10">
        <v>34</v>
      </c>
      <c r="E8" s="11"/>
      <c r="F8" s="9">
        <f t="shared" si="0"/>
        <v>0</v>
      </c>
      <c r="G8" s="11">
        <f t="shared" si="1"/>
        <v>34</v>
      </c>
      <c r="H8" s="12">
        <v>174.77</v>
      </c>
      <c r="I8" s="13">
        <f t="shared" si="2"/>
        <v>5942.18</v>
      </c>
      <c r="J8" s="14">
        <v>192</v>
      </c>
      <c r="K8" s="13">
        <f t="shared" si="3"/>
        <v>6528</v>
      </c>
      <c r="L8" s="11">
        <f>G8-'2'!D8</f>
        <v>0</v>
      </c>
      <c r="M8" s="13">
        <f t="shared" si="4"/>
        <v>0</v>
      </c>
    </row>
    <row r="9" spans="1:13">
      <c r="A9" s="7" t="s">
        <v>16</v>
      </c>
      <c r="B9" s="8" t="s">
        <v>21</v>
      </c>
      <c r="C9" s="9">
        <v>10</v>
      </c>
      <c r="D9" s="10">
        <v>216</v>
      </c>
      <c r="E9" s="11"/>
      <c r="F9" s="9">
        <f t="shared" si="0"/>
        <v>0</v>
      </c>
      <c r="G9" s="11">
        <f t="shared" si="1"/>
        <v>216</v>
      </c>
      <c r="H9" s="12">
        <v>174.77</v>
      </c>
      <c r="I9" s="13">
        <f t="shared" si="2"/>
        <v>37750.32</v>
      </c>
      <c r="J9" s="14">
        <v>192</v>
      </c>
      <c r="K9" s="13">
        <f t="shared" si="3"/>
        <v>41472</v>
      </c>
      <c r="L9" s="11">
        <f>G9-'2'!D9</f>
        <v>0</v>
      </c>
      <c r="M9" s="13">
        <f t="shared" si="4"/>
        <v>0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f>G10-'2'!D10</f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5</v>
      </c>
      <c r="E11" s="11">
        <v>39</v>
      </c>
      <c r="F11" s="9">
        <f t="shared" si="0"/>
        <v>18361.2</v>
      </c>
      <c r="G11" s="11">
        <f t="shared" si="1"/>
        <v>44</v>
      </c>
      <c r="H11" s="12">
        <v>470.8</v>
      </c>
      <c r="I11" s="13">
        <f t="shared" si="2"/>
        <v>2354</v>
      </c>
      <c r="J11" s="14">
        <v>505</v>
      </c>
      <c r="K11" s="13">
        <f t="shared" si="3"/>
        <v>2525</v>
      </c>
      <c r="L11" s="11">
        <f>G11-'2'!D11</f>
        <v>1</v>
      </c>
      <c r="M11" s="13">
        <f t="shared" si="4"/>
        <v>505</v>
      </c>
    </row>
    <row r="12" spans="1:13">
      <c r="A12" s="7" t="s">
        <v>22</v>
      </c>
      <c r="B12" s="8" t="s">
        <v>17</v>
      </c>
      <c r="C12" s="9">
        <v>20</v>
      </c>
      <c r="D12" s="10">
        <v>94</v>
      </c>
      <c r="E12" s="11">
        <v>390</v>
      </c>
      <c r="F12" s="9">
        <f>E12*H12</f>
        <v>185550.3</v>
      </c>
      <c r="G12" s="11">
        <f t="shared" si="1"/>
        <v>484</v>
      </c>
      <c r="H12" s="12">
        <v>475.77</v>
      </c>
      <c r="I12" s="13">
        <f t="shared" si="2"/>
        <v>44722.38</v>
      </c>
      <c r="J12" s="14">
        <v>505</v>
      </c>
      <c r="K12" s="13">
        <f t="shared" si="3"/>
        <v>47470</v>
      </c>
      <c r="L12" s="11">
        <f>G12-'2'!D12</f>
        <v>0</v>
      </c>
      <c r="M12" s="13">
        <f t="shared" si="4"/>
        <v>0</v>
      </c>
    </row>
    <row r="13" spans="1:13">
      <c r="A13" s="7" t="s">
        <v>22</v>
      </c>
      <c r="B13" s="8" t="s">
        <v>18</v>
      </c>
      <c r="C13" s="9">
        <v>20</v>
      </c>
      <c r="D13" s="10">
        <v>138</v>
      </c>
      <c r="E13" s="11">
        <v>260</v>
      </c>
      <c r="F13" s="9">
        <f t="shared" si="0"/>
        <v>123700.2</v>
      </c>
      <c r="G13" s="11">
        <f t="shared" si="1"/>
        <v>398</v>
      </c>
      <c r="H13" s="12">
        <v>475.77</v>
      </c>
      <c r="I13" s="13">
        <f t="shared" si="2"/>
        <v>65656.259999999995</v>
      </c>
      <c r="J13" s="14">
        <v>505</v>
      </c>
      <c r="K13" s="13">
        <f t="shared" si="3"/>
        <v>69690</v>
      </c>
      <c r="L13" s="11">
        <f>G13-'2'!D13</f>
        <v>0</v>
      </c>
      <c r="M13" s="13">
        <f t="shared" si="4"/>
        <v>0</v>
      </c>
    </row>
    <row r="14" spans="1:13">
      <c r="A14" s="7" t="s">
        <v>22</v>
      </c>
      <c r="B14" s="8" t="s">
        <v>19</v>
      </c>
      <c r="C14" s="9">
        <v>20</v>
      </c>
      <c r="D14" s="10">
        <v>5</v>
      </c>
      <c r="E14" s="11">
        <v>65</v>
      </c>
      <c r="F14" s="9">
        <f t="shared" si="0"/>
        <v>30602</v>
      </c>
      <c r="G14" s="11">
        <f t="shared" si="1"/>
        <v>70</v>
      </c>
      <c r="H14" s="12">
        <v>470.8</v>
      </c>
      <c r="I14" s="13">
        <f t="shared" si="2"/>
        <v>2354</v>
      </c>
      <c r="J14" s="14">
        <v>505</v>
      </c>
      <c r="K14" s="13">
        <f t="shared" si="3"/>
        <v>2525</v>
      </c>
      <c r="L14" s="11">
        <f>G14-'2'!D14</f>
        <v>0</v>
      </c>
      <c r="M14" s="13">
        <f t="shared" si="4"/>
        <v>0</v>
      </c>
    </row>
    <row r="15" spans="1:13">
      <c r="A15" s="7" t="s">
        <v>22</v>
      </c>
      <c r="B15" s="8" t="s">
        <v>20</v>
      </c>
      <c r="C15" s="9">
        <v>20</v>
      </c>
      <c r="D15" s="10"/>
      <c r="E15" s="11">
        <v>65</v>
      </c>
      <c r="F15" s="9">
        <f t="shared" si="0"/>
        <v>30602</v>
      </c>
      <c r="G15" s="11">
        <f t="shared" si="1"/>
        <v>65</v>
      </c>
      <c r="H15" s="12">
        <v>470.8</v>
      </c>
      <c r="I15" s="13">
        <f t="shared" si="2"/>
        <v>0</v>
      </c>
      <c r="J15" s="14">
        <v>505</v>
      </c>
      <c r="K15" s="13">
        <f t="shared" si="3"/>
        <v>0</v>
      </c>
      <c r="L15" s="11">
        <f>G15-'2'!D15</f>
        <v>0</v>
      </c>
      <c r="M15" s="13">
        <f t="shared" si="4"/>
        <v>0</v>
      </c>
    </row>
    <row r="16" spans="1:13">
      <c r="A16" s="7" t="s">
        <v>22</v>
      </c>
      <c r="B16" s="8" t="s">
        <v>21</v>
      </c>
      <c r="C16" s="9">
        <v>20</v>
      </c>
      <c r="D16" s="10">
        <v>2</v>
      </c>
      <c r="E16" s="11"/>
      <c r="F16" s="9">
        <f t="shared" si="0"/>
        <v>0</v>
      </c>
      <c r="G16" s="11">
        <f t="shared" si="1"/>
        <v>2</v>
      </c>
      <c r="H16" s="12">
        <v>470.8</v>
      </c>
      <c r="I16" s="13">
        <f t="shared" si="2"/>
        <v>941.6</v>
      </c>
      <c r="J16" s="14">
        <v>505</v>
      </c>
      <c r="K16" s="13">
        <f t="shared" si="3"/>
        <v>1010</v>
      </c>
      <c r="L16" s="11">
        <f>G16-'2'!D16</f>
        <v>0</v>
      </c>
      <c r="M16" s="13">
        <f t="shared" si="4"/>
        <v>0</v>
      </c>
    </row>
    <row r="17" spans="1:13">
      <c r="A17" s="7" t="s">
        <v>22</v>
      </c>
      <c r="B17" s="8" t="s">
        <v>29</v>
      </c>
      <c r="C17" s="9">
        <v>11</v>
      </c>
      <c r="D17" s="10">
        <v>102</v>
      </c>
      <c r="E17" s="11"/>
      <c r="F17" s="9">
        <f t="shared" ref="F17" si="5">E17*H17</f>
        <v>0</v>
      </c>
      <c r="G17" s="11">
        <f t="shared" ref="G17" si="6">D17+E17</f>
        <v>102</v>
      </c>
      <c r="H17" s="12">
        <v>235.59</v>
      </c>
      <c r="I17" s="13">
        <f t="shared" ref="I17" si="7">H17*D17</f>
        <v>24030.18</v>
      </c>
      <c r="J17" s="14">
        <v>250</v>
      </c>
      <c r="K17" s="13">
        <f t="shared" ref="K17" si="8">J17*D17</f>
        <v>25500</v>
      </c>
      <c r="L17" s="11">
        <f>G17-'2'!D17</f>
        <v>0</v>
      </c>
      <c r="M17" s="13">
        <f t="shared" ref="M17" si="9">L17*J17</f>
        <v>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ref="F18" si="10">E18*H18</f>
        <v>0</v>
      </c>
      <c r="G18" s="11">
        <f t="shared" ref="G18" si="11">D18+E18</f>
        <v>0</v>
      </c>
      <c r="H18" s="12">
        <v>470.8</v>
      </c>
      <c r="I18" s="13">
        <f t="shared" ref="I18" si="12">H18*D18</f>
        <v>0</v>
      </c>
      <c r="J18" s="14">
        <v>500</v>
      </c>
      <c r="K18" s="13">
        <f t="shared" ref="K18" si="13">J18*D18</f>
        <v>0</v>
      </c>
      <c r="L18" s="11">
        <f>G18-'2'!D18</f>
        <v>0</v>
      </c>
      <c r="M18" s="13">
        <f t="shared" ref="M18" si="14">L18*J18</f>
        <v>0</v>
      </c>
    </row>
    <row r="19" spans="1:13">
      <c r="A19" s="7" t="s">
        <v>22</v>
      </c>
      <c r="B19" s="8" t="s">
        <v>24</v>
      </c>
      <c r="C19" s="9">
        <v>10</v>
      </c>
      <c r="D19" s="10"/>
      <c r="E19" s="11"/>
      <c r="F19" s="9">
        <f t="shared" si="0"/>
        <v>0</v>
      </c>
      <c r="G19" s="11">
        <f t="shared" si="1"/>
        <v>0</v>
      </c>
      <c r="H19" s="12">
        <v>204</v>
      </c>
      <c r="I19" s="13">
        <f t="shared" si="2"/>
        <v>0</v>
      </c>
      <c r="J19" s="14">
        <v>230</v>
      </c>
      <c r="K19" s="13">
        <f t="shared" si="3"/>
        <v>0</v>
      </c>
      <c r="L19" s="11">
        <f>G19-'2'!D19</f>
        <v>0</v>
      </c>
      <c r="M19" s="13">
        <f t="shared" si="4"/>
        <v>0</v>
      </c>
    </row>
    <row r="20" spans="1:13">
      <c r="A20" s="7" t="s">
        <v>22</v>
      </c>
      <c r="B20" s="8" t="s">
        <v>25</v>
      </c>
      <c r="C20" s="9">
        <v>10</v>
      </c>
      <c r="D20" s="10"/>
      <c r="E20" s="11"/>
      <c r="F20" s="9">
        <f t="shared" si="0"/>
        <v>0</v>
      </c>
      <c r="G20" s="11">
        <f t="shared" si="1"/>
        <v>0</v>
      </c>
      <c r="H20" s="12">
        <v>204</v>
      </c>
      <c r="I20" s="13">
        <f>H20*D20</f>
        <v>0</v>
      </c>
      <c r="J20" s="14">
        <v>230</v>
      </c>
      <c r="K20" s="13">
        <f t="shared" si="3"/>
        <v>0</v>
      </c>
      <c r="L20" s="11">
        <f>G20-'2'!D20</f>
        <v>0</v>
      </c>
      <c r="M20" s="13">
        <f t="shared" si="4"/>
        <v>0</v>
      </c>
    </row>
    <row r="21" spans="1:13">
      <c r="A21" s="7" t="s">
        <v>22</v>
      </c>
      <c r="B21" s="8" t="s">
        <v>26</v>
      </c>
      <c r="C21" s="9">
        <v>10</v>
      </c>
      <c r="D21" s="10">
        <v>32</v>
      </c>
      <c r="E21" s="11"/>
      <c r="F21" s="9">
        <f t="shared" si="0"/>
        <v>0</v>
      </c>
      <c r="G21" s="11">
        <f t="shared" si="1"/>
        <v>32</v>
      </c>
      <c r="H21" s="12">
        <v>204</v>
      </c>
      <c r="I21" s="13">
        <f t="shared" si="2"/>
        <v>6528</v>
      </c>
      <c r="J21" s="14">
        <v>230</v>
      </c>
      <c r="K21" s="13">
        <f t="shared" si="3"/>
        <v>7360</v>
      </c>
      <c r="L21" s="11">
        <f>G21-'2'!D21</f>
        <v>0</v>
      </c>
      <c r="M21" s="13">
        <f t="shared" si="4"/>
        <v>0</v>
      </c>
    </row>
    <row r="22" spans="1:13">
      <c r="A22" s="7" t="s">
        <v>22</v>
      </c>
      <c r="B22" s="8" t="s">
        <v>13</v>
      </c>
      <c r="C22" s="9">
        <v>19</v>
      </c>
      <c r="D22" s="10">
        <v>7</v>
      </c>
      <c r="E22" s="11">
        <v>108</v>
      </c>
      <c r="F22" s="9">
        <f t="shared" si="0"/>
        <v>51241.68</v>
      </c>
      <c r="G22" s="11">
        <f t="shared" si="1"/>
        <v>115</v>
      </c>
      <c r="H22" s="12">
        <v>474.46</v>
      </c>
      <c r="I22" s="13">
        <f t="shared" si="2"/>
        <v>3321.22</v>
      </c>
      <c r="J22" s="14">
        <v>505</v>
      </c>
      <c r="K22" s="13">
        <f t="shared" si="3"/>
        <v>3535</v>
      </c>
      <c r="L22" s="11">
        <f>G22-'2'!D22</f>
        <v>0</v>
      </c>
      <c r="M22" s="13">
        <f t="shared" si="4"/>
        <v>0</v>
      </c>
    </row>
    <row r="23" spans="1:13">
      <c r="A23" s="7" t="s">
        <v>22</v>
      </c>
      <c r="B23" s="8" t="s">
        <v>27</v>
      </c>
      <c r="C23" s="9">
        <v>24</v>
      </c>
      <c r="D23" s="10">
        <v>103</v>
      </c>
      <c r="E23" s="11"/>
      <c r="F23" s="9">
        <f t="shared" si="0"/>
        <v>0</v>
      </c>
      <c r="G23" s="11">
        <f t="shared" si="1"/>
        <v>103</v>
      </c>
      <c r="H23" s="12">
        <v>593.91999999999996</v>
      </c>
      <c r="I23" s="13">
        <f t="shared" si="2"/>
        <v>61173.759999999995</v>
      </c>
      <c r="J23" s="14">
        <v>630</v>
      </c>
      <c r="K23" s="13">
        <f t="shared" si="3"/>
        <v>64890</v>
      </c>
      <c r="L23" s="11">
        <f>G23-'2'!D23</f>
        <v>0</v>
      </c>
      <c r="M23" s="13">
        <f t="shared" si="4"/>
        <v>0</v>
      </c>
    </row>
    <row r="24" spans="1:13">
      <c r="A24" s="7" t="s">
        <v>30</v>
      </c>
      <c r="B24" s="8" t="s">
        <v>17</v>
      </c>
      <c r="C24" s="9">
        <v>25</v>
      </c>
      <c r="D24" s="10">
        <v>9</v>
      </c>
      <c r="E24" s="10"/>
      <c r="F24" s="9">
        <f t="shared" ref="F24:F66" si="15">E24*H24</f>
        <v>0</v>
      </c>
      <c r="G24" s="11">
        <f t="shared" ref="G24:G66" si="16">D24+E24</f>
        <v>9</v>
      </c>
      <c r="H24" s="12">
        <v>453.3</v>
      </c>
      <c r="I24" s="13">
        <f t="shared" ref="I24:I66" si="17">H24*D24</f>
        <v>4079.7000000000003</v>
      </c>
      <c r="J24" s="14">
        <v>493</v>
      </c>
      <c r="K24" s="13">
        <f t="shared" ref="K24:K58" si="18">J24*D24</f>
        <v>4437</v>
      </c>
      <c r="L24" s="11">
        <f>G24-'2'!D24</f>
        <v>0</v>
      </c>
      <c r="M24" s="13">
        <f t="shared" ref="M24:M66" si="19">L24*J24</f>
        <v>0</v>
      </c>
    </row>
    <row r="25" spans="1:13">
      <c r="A25" s="7" t="s">
        <v>30</v>
      </c>
      <c r="B25" s="8" t="s">
        <v>18</v>
      </c>
      <c r="C25" s="9">
        <v>25</v>
      </c>
      <c r="D25" s="10"/>
      <c r="E25" s="10"/>
      <c r="F25" s="9">
        <f t="shared" si="15"/>
        <v>0</v>
      </c>
      <c r="G25" s="11">
        <f t="shared" si="16"/>
        <v>0</v>
      </c>
      <c r="H25" s="12">
        <v>453.3</v>
      </c>
      <c r="I25" s="13">
        <f t="shared" si="17"/>
        <v>0</v>
      </c>
      <c r="J25" s="14">
        <v>493</v>
      </c>
      <c r="K25" s="13">
        <f t="shared" si="18"/>
        <v>0</v>
      </c>
      <c r="L25" s="11">
        <f>G25-'2'!D25</f>
        <v>0</v>
      </c>
      <c r="M25" s="13">
        <f t="shared" si="19"/>
        <v>0</v>
      </c>
    </row>
    <row r="26" spans="1:13">
      <c r="A26" s="7" t="s">
        <v>30</v>
      </c>
      <c r="B26" s="8" t="s">
        <v>20</v>
      </c>
      <c r="C26" s="9">
        <v>25</v>
      </c>
      <c r="D26" s="10"/>
      <c r="E26" s="10"/>
      <c r="F26" s="9">
        <f t="shared" si="15"/>
        <v>0</v>
      </c>
      <c r="G26" s="11">
        <f t="shared" si="16"/>
        <v>0</v>
      </c>
      <c r="H26" s="12">
        <v>453.3</v>
      </c>
      <c r="I26" s="13">
        <f t="shared" si="17"/>
        <v>0</v>
      </c>
      <c r="J26" s="14">
        <v>493</v>
      </c>
      <c r="K26" s="13">
        <f t="shared" si="18"/>
        <v>0</v>
      </c>
      <c r="L26" s="11">
        <f>G26-'2'!D26</f>
        <v>0</v>
      </c>
      <c r="M26" s="13">
        <f t="shared" si="19"/>
        <v>0</v>
      </c>
    </row>
    <row r="27" spans="1:13">
      <c r="A27" s="7" t="s">
        <v>30</v>
      </c>
      <c r="B27" s="8" t="s">
        <v>21</v>
      </c>
      <c r="C27" s="9">
        <v>25</v>
      </c>
      <c r="D27" s="10"/>
      <c r="E27" s="10"/>
      <c r="F27" s="9">
        <f t="shared" si="15"/>
        <v>0</v>
      </c>
      <c r="G27" s="11">
        <f t="shared" si="16"/>
        <v>0</v>
      </c>
      <c r="H27" s="12">
        <v>453.3</v>
      </c>
      <c r="I27" s="13">
        <f t="shared" si="17"/>
        <v>0</v>
      </c>
      <c r="J27" s="14">
        <v>493</v>
      </c>
      <c r="K27" s="13">
        <f t="shared" si="18"/>
        <v>0</v>
      </c>
      <c r="L27" s="11">
        <f>G27-'2'!D27</f>
        <v>0</v>
      </c>
      <c r="M27" s="13">
        <f t="shared" si="19"/>
        <v>0</v>
      </c>
    </row>
    <row r="28" spans="1:13">
      <c r="A28" s="7" t="s">
        <v>31</v>
      </c>
      <c r="B28" s="7" t="s">
        <v>17</v>
      </c>
      <c r="C28" s="9">
        <v>40</v>
      </c>
      <c r="D28" s="10"/>
      <c r="E28" s="10"/>
      <c r="F28" s="9">
        <f t="shared" si="15"/>
        <v>0</v>
      </c>
      <c r="G28" s="11">
        <f t="shared" si="16"/>
        <v>0</v>
      </c>
      <c r="H28" s="12">
        <v>821.36</v>
      </c>
      <c r="I28" s="13">
        <f t="shared" si="17"/>
        <v>0</v>
      </c>
      <c r="J28" s="14">
        <v>878</v>
      </c>
      <c r="K28" s="13">
        <f t="shared" si="18"/>
        <v>0</v>
      </c>
      <c r="L28" s="11">
        <f>G28-'2'!D28</f>
        <v>0</v>
      </c>
      <c r="M28" s="13">
        <f t="shared" si="19"/>
        <v>0</v>
      </c>
    </row>
    <row r="29" spans="1:13">
      <c r="A29" s="7" t="s">
        <v>31</v>
      </c>
      <c r="B29" s="7" t="s">
        <v>18</v>
      </c>
      <c r="C29" s="9">
        <v>40</v>
      </c>
      <c r="D29" s="10"/>
      <c r="E29" s="10"/>
      <c r="F29" s="9">
        <f t="shared" si="15"/>
        <v>0</v>
      </c>
      <c r="G29" s="11">
        <f t="shared" si="16"/>
        <v>0</v>
      </c>
      <c r="H29" s="12">
        <v>821.36</v>
      </c>
      <c r="I29" s="13">
        <f t="shared" si="17"/>
        <v>0</v>
      </c>
      <c r="J29" s="14">
        <v>878</v>
      </c>
      <c r="K29" s="13">
        <f t="shared" si="18"/>
        <v>0</v>
      </c>
      <c r="L29" s="11">
        <f>G29-'2'!D29</f>
        <v>0</v>
      </c>
      <c r="M29" s="13">
        <f t="shared" si="19"/>
        <v>0</v>
      </c>
    </row>
    <row r="30" spans="1:13">
      <c r="A30" s="7" t="s">
        <v>31</v>
      </c>
      <c r="B30" s="7" t="s">
        <v>19</v>
      </c>
      <c r="C30" s="9">
        <v>40</v>
      </c>
      <c r="D30" s="10"/>
      <c r="E30" s="10"/>
      <c r="F30" s="9">
        <f t="shared" si="15"/>
        <v>0</v>
      </c>
      <c r="G30" s="11">
        <f t="shared" si="16"/>
        <v>0</v>
      </c>
      <c r="H30" s="12">
        <v>817.58</v>
      </c>
      <c r="I30" s="13">
        <f t="shared" si="17"/>
        <v>0</v>
      </c>
      <c r="J30" s="14">
        <v>878</v>
      </c>
      <c r="K30" s="13">
        <f t="shared" si="18"/>
        <v>0</v>
      </c>
      <c r="L30" s="11">
        <f>G30-'2'!D30</f>
        <v>0</v>
      </c>
      <c r="M30" s="13">
        <f t="shared" si="19"/>
        <v>0</v>
      </c>
    </row>
    <row r="31" spans="1:13">
      <c r="A31" s="7" t="s">
        <v>31</v>
      </c>
      <c r="B31" s="7" t="s">
        <v>20</v>
      </c>
      <c r="C31" s="9">
        <v>40</v>
      </c>
      <c r="D31" s="10"/>
      <c r="E31" s="10"/>
      <c r="F31" s="9">
        <f t="shared" si="15"/>
        <v>0</v>
      </c>
      <c r="G31" s="11">
        <f t="shared" si="16"/>
        <v>0</v>
      </c>
      <c r="H31" s="12">
        <v>817.58</v>
      </c>
      <c r="I31" s="13">
        <f t="shared" si="17"/>
        <v>0</v>
      </c>
      <c r="J31" s="14">
        <v>878</v>
      </c>
      <c r="K31" s="13">
        <f t="shared" si="18"/>
        <v>0</v>
      </c>
      <c r="L31" s="11">
        <f>G31-'2'!D31</f>
        <v>0</v>
      </c>
      <c r="M31" s="13">
        <f t="shared" si="19"/>
        <v>0</v>
      </c>
    </row>
    <row r="32" spans="1:13">
      <c r="A32" s="7" t="s">
        <v>31</v>
      </c>
      <c r="B32" s="7" t="s">
        <v>21</v>
      </c>
      <c r="C32" s="9">
        <v>40</v>
      </c>
      <c r="D32" s="10"/>
      <c r="E32" s="10"/>
      <c r="F32" s="9">
        <f t="shared" si="15"/>
        <v>0</v>
      </c>
      <c r="G32" s="11">
        <f t="shared" si="16"/>
        <v>0</v>
      </c>
      <c r="H32" s="12">
        <v>817.58</v>
      </c>
      <c r="I32" s="13">
        <f t="shared" si="17"/>
        <v>0</v>
      </c>
      <c r="J32" s="14">
        <v>878</v>
      </c>
      <c r="K32" s="13">
        <f t="shared" si="18"/>
        <v>0</v>
      </c>
      <c r="L32" s="11">
        <f>G32-'2'!D32</f>
        <v>0</v>
      </c>
      <c r="M32" s="13">
        <f t="shared" si="19"/>
        <v>0</v>
      </c>
    </row>
    <row r="33" spans="1:13">
      <c r="A33" s="7" t="s">
        <v>31</v>
      </c>
      <c r="B33" s="7" t="s">
        <v>32</v>
      </c>
      <c r="C33" s="9">
        <v>40</v>
      </c>
      <c r="D33" s="10"/>
      <c r="E33" s="10"/>
      <c r="F33" s="9">
        <f t="shared" si="15"/>
        <v>0</v>
      </c>
      <c r="G33" s="11">
        <f t="shared" si="16"/>
        <v>0</v>
      </c>
      <c r="H33" s="12">
        <v>817.58</v>
      </c>
      <c r="I33" s="13">
        <f t="shared" si="17"/>
        <v>0</v>
      </c>
      <c r="J33" s="14">
        <v>878</v>
      </c>
      <c r="K33" s="13">
        <f t="shared" si="18"/>
        <v>0</v>
      </c>
      <c r="L33" s="11">
        <f>G33-'2'!D33</f>
        <v>0</v>
      </c>
      <c r="M33" s="13">
        <f t="shared" si="19"/>
        <v>0</v>
      </c>
    </row>
    <row r="34" spans="1:13">
      <c r="A34" s="7" t="s">
        <v>31</v>
      </c>
      <c r="B34" s="7" t="s">
        <v>33</v>
      </c>
      <c r="C34" s="9">
        <v>60</v>
      </c>
      <c r="D34" s="10">
        <v>1</v>
      </c>
      <c r="E34" s="10"/>
      <c r="F34" s="9">
        <f t="shared" si="15"/>
        <v>0</v>
      </c>
      <c r="G34" s="11">
        <f t="shared" si="16"/>
        <v>1</v>
      </c>
      <c r="H34" s="12">
        <v>1042.6500000000001</v>
      </c>
      <c r="I34" s="13">
        <f t="shared" si="17"/>
        <v>1042.6500000000001</v>
      </c>
      <c r="J34" s="14">
        <v>1110</v>
      </c>
      <c r="K34" s="13">
        <f t="shared" si="18"/>
        <v>1110</v>
      </c>
      <c r="L34" s="11">
        <f>G34-'2'!D34</f>
        <v>0</v>
      </c>
      <c r="M34" s="13">
        <f t="shared" si="19"/>
        <v>0</v>
      </c>
    </row>
    <row r="35" spans="1:13">
      <c r="A35" s="7" t="s">
        <v>34</v>
      </c>
      <c r="B35" s="7" t="s">
        <v>35</v>
      </c>
      <c r="C35" s="9">
        <v>7</v>
      </c>
      <c r="D35" s="10">
        <v>16</v>
      </c>
      <c r="E35" s="10"/>
      <c r="F35" s="9">
        <f t="shared" si="15"/>
        <v>0</v>
      </c>
      <c r="G35" s="11">
        <f t="shared" si="16"/>
        <v>16</v>
      </c>
      <c r="H35" s="12">
        <v>126.24</v>
      </c>
      <c r="I35" s="13">
        <f t="shared" si="17"/>
        <v>2019.84</v>
      </c>
      <c r="J35" s="14">
        <v>140</v>
      </c>
      <c r="K35" s="13">
        <f t="shared" si="18"/>
        <v>2240</v>
      </c>
      <c r="L35" s="11">
        <f>G35-'2'!D35</f>
        <v>0</v>
      </c>
      <c r="M35" s="13">
        <f t="shared" si="19"/>
        <v>0</v>
      </c>
    </row>
    <row r="36" spans="1:13">
      <c r="A36" s="7" t="s">
        <v>36</v>
      </c>
      <c r="B36" s="7" t="s">
        <v>37</v>
      </c>
      <c r="C36" s="9">
        <v>125</v>
      </c>
      <c r="D36" s="10">
        <v>3</v>
      </c>
      <c r="E36" s="10"/>
      <c r="F36" s="9">
        <f t="shared" si="15"/>
        <v>0</v>
      </c>
      <c r="G36" s="11">
        <f t="shared" si="16"/>
        <v>3</v>
      </c>
      <c r="H36" s="12">
        <v>2050.54</v>
      </c>
      <c r="I36" s="13">
        <f t="shared" si="17"/>
        <v>6151.62</v>
      </c>
      <c r="J36" s="14">
        <v>2175</v>
      </c>
      <c r="K36" s="13">
        <f t="shared" si="18"/>
        <v>6525</v>
      </c>
      <c r="L36" s="11">
        <f>G36-'2'!D36</f>
        <v>0</v>
      </c>
      <c r="M36" s="13">
        <f t="shared" si="19"/>
        <v>0</v>
      </c>
    </row>
    <row r="37" spans="1:13">
      <c r="A37" s="7" t="s">
        <v>38</v>
      </c>
      <c r="B37" s="7" t="s">
        <v>17</v>
      </c>
      <c r="C37" s="9">
        <v>20</v>
      </c>
      <c r="D37" s="10">
        <v>3</v>
      </c>
      <c r="E37" s="10"/>
      <c r="F37" s="9">
        <f t="shared" si="15"/>
        <v>0</v>
      </c>
      <c r="G37" s="11">
        <f t="shared" si="16"/>
        <v>3</v>
      </c>
      <c r="H37" s="12">
        <v>399.19</v>
      </c>
      <c r="I37" s="13">
        <f t="shared" si="17"/>
        <v>1197.57</v>
      </c>
      <c r="J37" s="14">
        <v>420</v>
      </c>
      <c r="K37" s="13">
        <f t="shared" si="18"/>
        <v>1260</v>
      </c>
      <c r="L37" s="11">
        <f>G37-'2'!D37</f>
        <v>0</v>
      </c>
      <c r="M37" s="13">
        <f t="shared" si="19"/>
        <v>0</v>
      </c>
    </row>
    <row r="38" spans="1:13">
      <c r="A38" s="7" t="s">
        <v>38</v>
      </c>
      <c r="B38" s="7" t="s">
        <v>18</v>
      </c>
      <c r="C38" s="9">
        <v>20</v>
      </c>
      <c r="D38" s="10"/>
      <c r="E38" s="10"/>
      <c r="F38" s="9">
        <f t="shared" si="15"/>
        <v>0</v>
      </c>
      <c r="G38" s="11">
        <f t="shared" si="16"/>
        <v>0</v>
      </c>
      <c r="H38" s="12">
        <v>399.19</v>
      </c>
      <c r="I38" s="13">
        <f t="shared" si="17"/>
        <v>0</v>
      </c>
      <c r="J38" s="14">
        <v>420</v>
      </c>
      <c r="K38" s="13">
        <f t="shared" si="18"/>
        <v>0</v>
      </c>
      <c r="L38" s="11">
        <f>G38-'2'!D38</f>
        <v>0</v>
      </c>
      <c r="M38" s="13">
        <f t="shared" si="19"/>
        <v>0</v>
      </c>
    </row>
    <row r="39" spans="1:13">
      <c r="A39" s="7" t="s">
        <v>38</v>
      </c>
      <c r="B39" s="7" t="s">
        <v>21</v>
      </c>
      <c r="C39" s="9">
        <v>20</v>
      </c>
      <c r="D39" s="10"/>
      <c r="E39" s="10"/>
      <c r="F39" s="9">
        <f t="shared" si="15"/>
        <v>0</v>
      </c>
      <c r="G39" s="11">
        <f t="shared" si="16"/>
        <v>0</v>
      </c>
      <c r="H39" s="12">
        <v>399.19</v>
      </c>
      <c r="I39" s="13">
        <f t="shared" si="17"/>
        <v>0</v>
      </c>
      <c r="J39" s="14">
        <v>420</v>
      </c>
      <c r="K39" s="13">
        <f t="shared" si="18"/>
        <v>0</v>
      </c>
      <c r="L39" s="11">
        <f>G39-'2'!D39</f>
        <v>0</v>
      </c>
      <c r="M39" s="13">
        <f t="shared" si="19"/>
        <v>0</v>
      </c>
    </row>
    <row r="40" spans="1:13">
      <c r="A40" s="7" t="s">
        <v>39</v>
      </c>
      <c r="B40" s="7" t="s">
        <v>35</v>
      </c>
      <c r="C40" s="9">
        <v>9</v>
      </c>
      <c r="D40" s="10">
        <v>1</v>
      </c>
      <c r="E40" s="10"/>
      <c r="F40" s="9">
        <f t="shared" si="15"/>
        <v>0</v>
      </c>
      <c r="G40" s="11">
        <f t="shared" si="16"/>
        <v>1</v>
      </c>
      <c r="H40" s="12">
        <v>174.19</v>
      </c>
      <c r="I40" s="13">
        <f t="shared" si="17"/>
        <v>174.19</v>
      </c>
      <c r="J40" s="14">
        <v>185</v>
      </c>
      <c r="K40" s="13">
        <f t="shared" si="18"/>
        <v>185</v>
      </c>
      <c r="L40" s="11">
        <f>G40-'2'!D40</f>
        <v>0</v>
      </c>
      <c r="M40" s="13">
        <f t="shared" si="19"/>
        <v>0</v>
      </c>
    </row>
    <row r="41" spans="1:13">
      <c r="A41" s="7" t="s">
        <v>40</v>
      </c>
      <c r="B41" s="7" t="s">
        <v>13</v>
      </c>
      <c r="C41" s="9">
        <v>35</v>
      </c>
      <c r="D41" s="10">
        <v>1</v>
      </c>
      <c r="E41" s="10">
        <v>36</v>
      </c>
      <c r="F41" s="9">
        <f t="shared" si="15"/>
        <v>26932.68</v>
      </c>
      <c r="G41" s="11">
        <f t="shared" si="16"/>
        <v>37</v>
      </c>
      <c r="H41" s="12">
        <v>748.13</v>
      </c>
      <c r="I41" s="13">
        <f t="shared" si="17"/>
        <v>748.13</v>
      </c>
      <c r="J41" s="14">
        <v>795</v>
      </c>
      <c r="K41" s="13">
        <f t="shared" si="18"/>
        <v>795</v>
      </c>
      <c r="L41" s="11">
        <f>G41-'2'!D41</f>
        <v>0</v>
      </c>
      <c r="M41" s="13">
        <f t="shared" si="19"/>
        <v>0</v>
      </c>
    </row>
    <row r="42" spans="1:13">
      <c r="A42" s="7" t="s">
        <v>41</v>
      </c>
      <c r="B42" s="7" t="s">
        <v>17</v>
      </c>
      <c r="C42" s="9">
        <v>40</v>
      </c>
      <c r="D42" s="10"/>
      <c r="E42" s="10">
        <v>36</v>
      </c>
      <c r="F42" s="9">
        <f t="shared" si="15"/>
        <v>30342.959999999999</v>
      </c>
      <c r="G42" s="11">
        <f t="shared" si="16"/>
        <v>36</v>
      </c>
      <c r="H42" s="12">
        <v>842.86</v>
      </c>
      <c r="I42" s="13">
        <f t="shared" si="17"/>
        <v>0</v>
      </c>
      <c r="J42" s="14">
        <v>900</v>
      </c>
      <c r="K42" s="13">
        <f t="shared" si="18"/>
        <v>0</v>
      </c>
      <c r="L42" s="11">
        <f>G42-'2'!D42</f>
        <v>0</v>
      </c>
      <c r="M42" s="13">
        <f t="shared" si="19"/>
        <v>0</v>
      </c>
    </row>
    <row r="43" spans="1:13">
      <c r="A43" s="7" t="s">
        <v>41</v>
      </c>
      <c r="B43" s="7" t="s">
        <v>18</v>
      </c>
      <c r="C43" s="9">
        <v>40</v>
      </c>
      <c r="D43" s="10">
        <v>5</v>
      </c>
      <c r="E43" s="10">
        <v>36</v>
      </c>
      <c r="F43" s="9">
        <f t="shared" si="15"/>
        <v>30342.959999999999</v>
      </c>
      <c r="G43" s="11">
        <f t="shared" si="16"/>
        <v>41</v>
      </c>
      <c r="H43" s="12">
        <v>842.86</v>
      </c>
      <c r="I43" s="13">
        <f t="shared" si="17"/>
        <v>4214.3</v>
      </c>
      <c r="J43" s="14">
        <v>900</v>
      </c>
      <c r="K43" s="13">
        <f t="shared" si="18"/>
        <v>4500</v>
      </c>
      <c r="L43" s="11">
        <f>G43-'2'!D43</f>
        <v>0</v>
      </c>
      <c r="M43" s="13">
        <f t="shared" si="19"/>
        <v>0</v>
      </c>
    </row>
    <row r="44" spans="1:13">
      <c r="A44" s="7" t="s">
        <v>41</v>
      </c>
      <c r="B44" s="7" t="s">
        <v>19</v>
      </c>
      <c r="C44" s="9">
        <v>40</v>
      </c>
      <c r="D44" s="10"/>
      <c r="E44" s="10"/>
      <c r="F44" s="9">
        <f t="shared" si="15"/>
        <v>0</v>
      </c>
      <c r="G44" s="11">
        <f t="shared" si="16"/>
        <v>0</v>
      </c>
      <c r="H44" s="12">
        <v>839.68</v>
      </c>
      <c r="I44" s="13">
        <f t="shared" si="17"/>
        <v>0</v>
      </c>
      <c r="J44" s="14">
        <v>900</v>
      </c>
      <c r="K44" s="13">
        <f t="shared" si="18"/>
        <v>0</v>
      </c>
      <c r="L44" s="11">
        <f>G44-'2'!D44</f>
        <v>0</v>
      </c>
      <c r="M44" s="13">
        <f t="shared" si="19"/>
        <v>0</v>
      </c>
    </row>
    <row r="45" spans="1:13">
      <c r="A45" s="7" t="s">
        <v>41</v>
      </c>
      <c r="B45" s="7" t="s">
        <v>20</v>
      </c>
      <c r="C45" s="9">
        <v>40</v>
      </c>
      <c r="D45" s="10"/>
      <c r="E45" s="10"/>
      <c r="F45" s="9">
        <f t="shared" si="15"/>
        <v>0</v>
      </c>
      <c r="G45" s="11">
        <f t="shared" si="16"/>
        <v>0</v>
      </c>
      <c r="H45" s="12">
        <v>839.68</v>
      </c>
      <c r="I45" s="13">
        <f t="shared" si="17"/>
        <v>0</v>
      </c>
      <c r="J45" s="14">
        <v>900</v>
      </c>
      <c r="K45" s="13">
        <f t="shared" si="18"/>
        <v>0</v>
      </c>
      <c r="L45" s="11">
        <f>G45-'2'!D45</f>
        <v>0</v>
      </c>
      <c r="M45" s="13">
        <f t="shared" si="19"/>
        <v>0</v>
      </c>
    </row>
    <row r="46" spans="1:13">
      <c r="A46" s="7" t="s">
        <v>41</v>
      </c>
      <c r="B46" s="7" t="s">
        <v>21</v>
      </c>
      <c r="C46" s="9">
        <v>40</v>
      </c>
      <c r="D46" s="10"/>
      <c r="E46" s="10"/>
      <c r="F46" s="9">
        <f t="shared" si="15"/>
        <v>0</v>
      </c>
      <c r="G46" s="11">
        <f t="shared" si="16"/>
        <v>0</v>
      </c>
      <c r="H46" s="12">
        <v>839.68</v>
      </c>
      <c r="I46" s="13">
        <f t="shared" si="17"/>
        <v>0</v>
      </c>
      <c r="J46" s="14">
        <v>900</v>
      </c>
      <c r="K46" s="13">
        <f t="shared" si="18"/>
        <v>0</v>
      </c>
      <c r="L46" s="11">
        <f>G46-'2'!D46</f>
        <v>0</v>
      </c>
      <c r="M46" s="13">
        <f t="shared" si="19"/>
        <v>0</v>
      </c>
    </row>
    <row r="47" spans="1:13">
      <c r="A47" s="7" t="s">
        <v>42</v>
      </c>
      <c r="B47" s="7" t="s">
        <v>29</v>
      </c>
      <c r="C47" s="9">
        <v>18</v>
      </c>
      <c r="D47" s="10"/>
      <c r="E47" s="10">
        <v>54</v>
      </c>
      <c r="F47" s="9">
        <f t="shared" si="15"/>
        <v>20286.72</v>
      </c>
      <c r="G47" s="11">
        <f t="shared" si="16"/>
        <v>54</v>
      </c>
      <c r="H47" s="12">
        <v>375.68</v>
      </c>
      <c r="I47" s="13">
        <f t="shared" si="17"/>
        <v>0</v>
      </c>
      <c r="J47" s="14">
        <v>400</v>
      </c>
      <c r="K47" s="13">
        <f t="shared" si="18"/>
        <v>0</v>
      </c>
      <c r="L47" s="11">
        <f>G47-'2'!D47</f>
        <v>0</v>
      </c>
      <c r="M47" s="13">
        <f t="shared" si="19"/>
        <v>0</v>
      </c>
    </row>
    <row r="48" spans="1:13">
      <c r="A48" s="7" t="s">
        <v>54</v>
      </c>
      <c r="B48" s="7" t="s">
        <v>44</v>
      </c>
      <c r="C48" s="9">
        <v>50</v>
      </c>
      <c r="D48" s="28"/>
      <c r="E48" s="11">
        <v>78</v>
      </c>
      <c r="F48" s="9">
        <f t="shared" si="15"/>
        <v>52284.960000000006</v>
      </c>
      <c r="G48" s="11">
        <f t="shared" si="16"/>
        <v>78</v>
      </c>
      <c r="H48" s="12">
        <v>670.32</v>
      </c>
      <c r="I48" s="13">
        <f t="shared" si="17"/>
        <v>0</v>
      </c>
      <c r="J48" s="14">
        <v>710</v>
      </c>
      <c r="K48" s="13">
        <f t="shared" si="18"/>
        <v>0</v>
      </c>
      <c r="L48" s="11">
        <f>G48-'2'!D48</f>
        <v>0</v>
      </c>
      <c r="M48" s="13">
        <f t="shared" si="19"/>
        <v>0</v>
      </c>
    </row>
    <row r="49" spans="1:13">
      <c r="A49" s="7" t="s">
        <v>43</v>
      </c>
      <c r="B49" s="7" t="s">
        <v>17</v>
      </c>
      <c r="C49" s="9">
        <v>50</v>
      </c>
      <c r="D49" s="10"/>
      <c r="E49" s="10">
        <v>55</v>
      </c>
      <c r="F49" s="9">
        <f t="shared" si="15"/>
        <v>36367.1</v>
      </c>
      <c r="G49" s="11">
        <f t="shared" si="16"/>
        <v>55</v>
      </c>
      <c r="H49" s="12">
        <v>661.22</v>
      </c>
      <c r="I49" s="13">
        <f t="shared" si="17"/>
        <v>0</v>
      </c>
      <c r="J49" s="14">
        <v>710</v>
      </c>
      <c r="K49" s="13">
        <f t="shared" si="18"/>
        <v>0</v>
      </c>
      <c r="L49" s="11">
        <f>G49-'2'!D49</f>
        <v>0</v>
      </c>
      <c r="M49" s="13">
        <f t="shared" si="19"/>
        <v>0</v>
      </c>
    </row>
    <row r="50" spans="1:13">
      <c r="A50" s="7" t="s">
        <v>43</v>
      </c>
      <c r="B50" s="7" t="s">
        <v>18</v>
      </c>
      <c r="C50" s="9">
        <v>50</v>
      </c>
      <c r="D50" s="10">
        <v>10</v>
      </c>
      <c r="E50" s="10">
        <v>22</v>
      </c>
      <c r="F50" s="9">
        <f t="shared" si="15"/>
        <v>14546.84</v>
      </c>
      <c r="G50" s="11">
        <f t="shared" si="16"/>
        <v>32</v>
      </c>
      <c r="H50" s="12">
        <v>661.22</v>
      </c>
      <c r="I50" s="13">
        <f t="shared" si="17"/>
        <v>6612.2000000000007</v>
      </c>
      <c r="J50" s="14">
        <v>710</v>
      </c>
      <c r="K50" s="13">
        <f t="shared" si="18"/>
        <v>7100</v>
      </c>
      <c r="L50" s="11">
        <f>G50-'2'!D50</f>
        <v>0</v>
      </c>
      <c r="M50" s="13">
        <f t="shared" si="19"/>
        <v>0</v>
      </c>
    </row>
    <row r="51" spans="1:13">
      <c r="A51" s="7" t="s">
        <v>43</v>
      </c>
      <c r="B51" s="7" t="s">
        <v>19</v>
      </c>
      <c r="C51" s="9">
        <v>50</v>
      </c>
      <c r="D51" s="10"/>
      <c r="E51" s="10"/>
      <c r="F51" s="9">
        <f t="shared" si="15"/>
        <v>0</v>
      </c>
      <c r="G51" s="11">
        <f t="shared" si="16"/>
        <v>0</v>
      </c>
      <c r="H51" s="12">
        <v>661.22</v>
      </c>
      <c r="I51" s="13">
        <f t="shared" si="17"/>
        <v>0</v>
      </c>
      <c r="J51" s="14">
        <v>710</v>
      </c>
      <c r="K51" s="13">
        <f t="shared" si="18"/>
        <v>0</v>
      </c>
      <c r="L51" s="11">
        <f>G51-'2'!D51</f>
        <v>0</v>
      </c>
      <c r="M51" s="13">
        <f t="shared" si="19"/>
        <v>0</v>
      </c>
    </row>
    <row r="52" spans="1:13">
      <c r="A52" s="7" t="s">
        <v>43</v>
      </c>
      <c r="B52" s="7" t="s">
        <v>20</v>
      </c>
      <c r="C52" s="9">
        <v>50</v>
      </c>
      <c r="D52" s="10"/>
      <c r="E52" s="10"/>
      <c r="F52" s="9">
        <f t="shared" si="15"/>
        <v>0</v>
      </c>
      <c r="G52" s="11">
        <f t="shared" si="16"/>
        <v>0</v>
      </c>
      <c r="H52" s="12">
        <v>661.22</v>
      </c>
      <c r="I52" s="13">
        <f t="shared" si="17"/>
        <v>0</v>
      </c>
      <c r="J52" s="14">
        <v>710</v>
      </c>
      <c r="K52" s="13">
        <f t="shared" si="18"/>
        <v>0</v>
      </c>
      <c r="L52" s="11">
        <f>G52-'2'!D52</f>
        <v>0</v>
      </c>
      <c r="M52" s="13">
        <f t="shared" si="19"/>
        <v>0</v>
      </c>
    </row>
    <row r="53" spans="1:13">
      <c r="A53" s="7" t="s">
        <v>43</v>
      </c>
      <c r="B53" s="7" t="s">
        <v>21</v>
      </c>
      <c r="C53" s="9">
        <v>50</v>
      </c>
      <c r="D53" s="10"/>
      <c r="E53" s="10"/>
      <c r="F53" s="9">
        <f t="shared" si="15"/>
        <v>0</v>
      </c>
      <c r="G53" s="11">
        <f t="shared" si="16"/>
        <v>0</v>
      </c>
      <c r="H53" s="12">
        <v>661.22</v>
      </c>
      <c r="I53" s="13">
        <f t="shared" si="17"/>
        <v>0</v>
      </c>
      <c r="J53" s="14">
        <v>710</v>
      </c>
      <c r="K53" s="13">
        <f t="shared" si="18"/>
        <v>0</v>
      </c>
      <c r="L53" s="11">
        <f>G53-'2'!D53</f>
        <v>0</v>
      </c>
      <c r="M53" s="13">
        <f t="shared" si="19"/>
        <v>0</v>
      </c>
    </row>
    <row r="54" spans="1:13">
      <c r="A54" s="7" t="s">
        <v>43</v>
      </c>
      <c r="B54" s="7" t="s">
        <v>44</v>
      </c>
      <c r="C54" s="9">
        <v>85</v>
      </c>
      <c r="D54" s="10">
        <v>6</v>
      </c>
      <c r="E54" s="10"/>
      <c r="F54" s="9">
        <f t="shared" si="15"/>
        <v>0</v>
      </c>
      <c r="G54" s="11">
        <f t="shared" si="16"/>
        <v>6</v>
      </c>
      <c r="H54" s="12">
        <v>797.07</v>
      </c>
      <c r="I54" s="13">
        <f t="shared" si="17"/>
        <v>4782.42</v>
      </c>
      <c r="J54" s="14">
        <v>845</v>
      </c>
      <c r="K54" s="13">
        <f t="shared" si="18"/>
        <v>5070</v>
      </c>
      <c r="L54" s="11">
        <f>G54-'2'!D54</f>
        <v>0</v>
      </c>
      <c r="M54" s="13">
        <f t="shared" si="19"/>
        <v>0</v>
      </c>
    </row>
    <row r="55" spans="1:13">
      <c r="A55" s="7" t="s">
        <v>45</v>
      </c>
      <c r="B55" s="7" t="s">
        <v>35</v>
      </c>
      <c r="C55" s="9">
        <v>18</v>
      </c>
      <c r="D55" s="10">
        <v>238</v>
      </c>
      <c r="E55" s="10"/>
      <c r="F55" s="9">
        <f t="shared" si="15"/>
        <v>0</v>
      </c>
      <c r="G55" s="11">
        <f t="shared" si="16"/>
        <v>238</v>
      </c>
      <c r="H55" s="12">
        <v>160.77000000000001</v>
      </c>
      <c r="I55" s="13">
        <f t="shared" si="17"/>
        <v>38263.26</v>
      </c>
      <c r="J55" s="14">
        <v>175</v>
      </c>
      <c r="K55" s="13">
        <f t="shared" si="18"/>
        <v>41650</v>
      </c>
      <c r="L55" s="11">
        <f>G55-'2'!D55</f>
        <v>0</v>
      </c>
      <c r="M55" s="13">
        <f t="shared" si="19"/>
        <v>0</v>
      </c>
    </row>
    <row r="56" spans="1:13">
      <c r="A56" s="7" t="s">
        <v>46</v>
      </c>
      <c r="B56" s="7" t="s">
        <v>13</v>
      </c>
      <c r="C56" s="9">
        <v>70</v>
      </c>
      <c r="D56" s="10"/>
      <c r="E56" s="10">
        <v>22</v>
      </c>
      <c r="F56" s="9">
        <f t="shared" si="15"/>
        <v>16389.78</v>
      </c>
      <c r="G56" s="11">
        <f t="shared" si="16"/>
        <v>22</v>
      </c>
      <c r="H56" s="12">
        <v>744.99</v>
      </c>
      <c r="I56" s="13">
        <f t="shared" si="17"/>
        <v>0</v>
      </c>
      <c r="J56" s="14">
        <v>790</v>
      </c>
      <c r="K56" s="13">
        <f t="shared" si="18"/>
        <v>0</v>
      </c>
      <c r="L56" s="11">
        <f>G56-'2'!D56</f>
        <v>0</v>
      </c>
      <c r="M56" s="13">
        <f t="shared" si="19"/>
        <v>0</v>
      </c>
    </row>
    <row r="57" spans="1:13">
      <c r="A57" s="7" t="s">
        <v>47</v>
      </c>
      <c r="B57" s="7" t="s">
        <v>29</v>
      </c>
      <c r="C57" s="9">
        <v>30</v>
      </c>
      <c r="D57" s="10"/>
      <c r="E57" s="10"/>
      <c r="F57" s="9">
        <f t="shared" si="15"/>
        <v>0</v>
      </c>
      <c r="G57" s="11">
        <f t="shared" si="16"/>
        <v>0</v>
      </c>
      <c r="H57" s="12">
        <v>316.14999999999998</v>
      </c>
      <c r="I57" s="13">
        <f t="shared" si="17"/>
        <v>0</v>
      </c>
      <c r="J57" s="14">
        <v>336</v>
      </c>
      <c r="K57" s="13">
        <f t="shared" si="18"/>
        <v>0</v>
      </c>
      <c r="L57" s="11">
        <f>G57-'2'!D57</f>
        <v>0</v>
      </c>
      <c r="M57" s="13">
        <f t="shared" si="19"/>
        <v>0</v>
      </c>
    </row>
    <row r="58" spans="1:13">
      <c r="A58" s="7" t="s">
        <v>48</v>
      </c>
      <c r="B58" s="7" t="s">
        <v>13</v>
      </c>
      <c r="C58" s="9">
        <v>95</v>
      </c>
      <c r="D58" s="10">
        <v>1</v>
      </c>
      <c r="E58" s="10">
        <v>20</v>
      </c>
      <c r="F58" s="9">
        <f t="shared" si="15"/>
        <v>20858</v>
      </c>
      <c r="G58" s="11">
        <f t="shared" si="16"/>
        <v>21</v>
      </c>
      <c r="H58" s="12">
        <v>1042.9000000000001</v>
      </c>
      <c r="I58" s="13">
        <f t="shared" si="17"/>
        <v>1042.9000000000001</v>
      </c>
      <c r="J58" s="14">
        <v>1105</v>
      </c>
      <c r="K58" s="13">
        <f t="shared" si="18"/>
        <v>1105</v>
      </c>
      <c r="L58" s="11">
        <f>G58-'2'!D58</f>
        <v>0</v>
      </c>
      <c r="M58" s="13">
        <f t="shared" si="19"/>
        <v>0</v>
      </c>
    </row>
    <row r="59" spans="1:13">
      <c r="A59" s="7" t="s">
        <v>49</v>
      </c>
      <c r="B59" s="7" t="s">
        <v>35</v>
      </c>
      <c r="C59" s="9">
        <v>28</v>
      </c>
      <c r="D59" s="10">
        <v>1</v>
      </c>
      <c r="E59" s="10"/>
      <c r="F59" s="9">
        <f t="shared" si="15"/>
        <v>0</v>
      </c>
      <c r="G59" s="11">
        <f t="shared" si="16"/>
        <v>1</v>
      </c>
      <c r="H59" s="12">
        <v>165.06</v>
      </c>
      <c r="I59" s="13">
        <f t="shared" si="17"/>
        <v>165.06</v>
      </c>
      <c r="J59" s="14">
        <v>180</v>
      </c>
      <c r="K59" s="13">
        <f t="shared" ref="K59" si="20">J59*D59</f>
        <v>180</v>
      </c>
      <c r="L59" s="11">
        <f>G59-'2'!D59</f>
        <v>0</v>
      </c>
      <c r="M59" s="13">
        <f t="shared" si="19"/>
        <v>0</v>
      </c>
    </row>
    <row r="60" spans="1:13">
      <c r="A60" s="7" t="s">
        <v>50</v>
      </c>
      <c r="B60" s="7" t="s">
        <v>17</v>
      </c>
      <c r="C60" s="9">
        <v>70</v>
      </c>
      <c r="D60" s="10"/>
      <c r="E60" s="10"/>
      <c r="F60" s="9">
        <f t="shared" si="15"/>
        <v>0</v>
      </c>
      <c r="G60" s="11">
        <f t="shared" si="16"/>
        <v>0</v>
      </c>
      <c r="H60" s="12">
        <v>721.25</v>
      </c>
      <c r="I60" s="13">
        <f t="shared" si="17"/>
        <v>0</v>
      </c>
      <c r="J60" s="14">
        <v>771</v>
      </c>
      <c r="K60" s="13">
        <f t="shared" ref="K60:K66" si="21">J60*D60</f>
        <v>0</v>
      </c>
      <c r="L60" s="11">
        <f>G60-'2'!D60</f>
        <v>0</v>
      </c>
      <c r="M60" s="13">
        <f t="shared" si="19"/>
        <v>0</v>
      </c>
    </row>
    <row r="61" spans="1:13">
      <c r="A61" s="7" t="s">
        <v>50</v>
      </c>
      <c r="B61" s="7" t="s">
        <v>18</v>
      </c>
      <c r="C61" s="9">
        <v>70</v>
      </c>
      <c r="D61" s="10"/>
      <c r="E61" s="10"/>
      <c r="F61" s="9">
        <f t="shared" si="15"/>
        <v>0</v>
      </c>
      <c r="G61" s="11">
        <f t="shared" si="16"/>
        <v>0</v>
      </c>
      <c r="H61" s="12">
        <v>721.25</v>
      </c>
      <c r="I61" s="13">
        <f t="shared" si="17"/>
        <v>0</v>
      </c>
      <c r="J61" s="14">
        <v>771</v>
      </c>
      <c r="K61" s="13">
        <f t="shared" si="21"/>
        <v>0</v>
      </c>
      <c r="L61" s="11">
        <f>G61-'2'!D61</f>
        <v>0</v>
      </c>
      <c r="M61" s="13">
        <f t="shared" si="19"/>
        <v>0</v>
      </c>
    </row>
    <row r="62" spans="1:13">
      <c r="A62" s="7" t="s">
        <v>51</v>
      </c>
      <c r="B62" s="7" t="s">
        <v>17</v>
      </c>
      <c r="C62" s="9">
        <v>100</v>
      </c>
      <c r="D62" s="10"/>
      <c r="E62" s="10"/>
      <c r="F62" s="9">
        <f t="shared" si="15"/>
        <v>0</v>
      </c>
      <c r="G62" s="11">
        <f t="shared" si="16"/>
        <v>0</v>
      </c>
      <c r="H62" s="12">
        <v>790.89</v>
      </c>
      <c r="I62" s="13">
        <f t="shared" si="17"/>
        <v>0</v>
      </c>
      <c r="J62" s="14">
        <v>845</v>
      </c>
      <c r="K62" s="13">
        <f t="shared" si="21"/>
        <v>0</v>
      </c>
      <c r="L62" s="11">
        <f>G62-'2'!D62</f>
        <v>0</v>
      </c>
      <c r="M62" s="13">
        <f t="shared" si="19"/>
        <v>0</v>
      </c>
    </row>
    <row r="63" spans="1:13">
      <c r="A63" s="7" t="s">
        <v>51</v>
      </c>
      <c r="B63" s="7" t="s">
        <v>18</v>
      </c>
      <c r="C63" s="9">
        <v>100</v>
      </c>
      <c r="D63" s="10"/>
      <c r="E63" s="10"/>
      <c r="F63" s="9">
        <f t="shared" si="15"/>
        <v>0</v>
      </c>
      <c r="G63" s="11">
        <f t="shared" si="16"/>
        <v>0</v>
      </c>
      <c r="H63" s="12">
        <v>790.89</v>
      </c>
      <c r="I63" s="13">
        <f t="shared" si="17"/>
        <v>0</v>
      </c>
      <c r="J63" s="14">
        <v>845</v>
      </c>
      <c r="K63" s="13">
        <f t="shared" si="21"/>
        <v>0</v>
      </c>
      <c r="L63" s="11">
        <f>G63-'2'!D63</f>
        <v>0</v>
      </c>
      <c r="M63" s="13">
        <f t="shared" si="19"/>
        <v>0</v>
      </c>
    </row>
    <row r="64" spans="1:13">
      <c r="A64" s="7" t="s">
        <v>51</v>
      </c>
      <c r="B64" s="7" t="s">
        <v>19</v>
      </c>
      <c r="C64" s="9">
        <v>100</v>
      </c>
      <c r="D64" s="10"/>
      <c r="E64" s="10"/>
      <c r="F64" s="9">
        <f t="shared" si="15"/>
        <v>0</v>
      </c>
      <c r="G64" s="11">
        <f t="shared" si="16"/>
        <v>0</v>
      </c>
      <c r="H64" s="12">
        <v>790.89</v>
      </c>
      <c r="I64" s="13">
        <f t="shared" si="17"/>
        <v>0</v>
      </c>
      <c r="J64" s="14">
        <v>845</v>
      </c>
      <c r="K64" s="13">
        <f t="shared" si="21"/>
        <v>0</v>
      </c>
      <c r="L64" s="11">
        <f>G64-'2'!D64</f>
        <v>0</v>
      </c>
      <c r="M64" s="13">
        <f t="shared" si="19"/>
        <v>0</v>
      </c>
    </row>
    <row r="65" spans="1:13">
      <c r="A65" s="7" t="s">
        <v>51</v>
      </c>
      <c r="B65" s="7" t="s">
        <v>20</v>
      </c>
      <c r="C65" s="9">
        <v>100</v>
      </c>
      <c r="D65" s="10"/>
      <c r="E65" s="11"/>
      <c r="F65" s="9">
        <f t="shared" si="15"/>
        <v>0</v>
      </c>
      <c r="G65" s="11">
        <f t="shared" si="16"/>
        <v>0</v>
      </c>
      <c r="H65" s="12">
        <v>790.89</v>
      </c>
      <c r="I65" s="13">
        <f t="shared" si="17"/>
        <v>0</v>
      </c>
      <c r="J65" s="14">
        <v>845</v>
      </c>
      <c r="K65" s="13">
        <f t="shared" si="21"/>
        <v>0</v>
      </c>
      <c r="L65" s="11">
        <f>G65-'2'!D65</f>
        <v>0</v>
      </c>
      <c r="M65" s="13">
        <f t="shared" si="19"/>
        <v>0</v>
      </c>
    </row>
    <row r="66" spans="1:13">
      <c r="A66" s="7" t="s">
        <v>51</v>
      </c>
      <c r="B66" s="7" t="s">
        <v>21</v>
      </c>
      <c r="C66" s="9">
        <v>100</v>
      </c>
      <c r="D66" s="10"/>
      <c r="E66" s="11"/>
      <c r="F66" s="15">
        <f t="shared" si="15"/>
        <v>0</v>
      </c>
      <c r="G66" s="11">
        <f t="shared" si="16"/>
        <v>0</v>
      </c>
      <c r="H66" s="12">
        <v>790.89</v>
      </c>
      <c r="I66" s="13">
        <f t="shared" si="17"/>
        <v>0</v>
      </c>
      <c r="J66" s="14">
        <v>845</v>
      </c>
      <c r="K66" s="13">
        <f t="shared" si="21"/>
        <v>0</v>
      </c>
      <c r="L66" s="11">
        <f>G66-'2'!D66</f>
        <v>0</v>
      </c>
      <c r="M66" s="13">
        <f t="shared" si="19"/>
        <v>0</v>
      </c>
    </row>
    <row r="67" spans="1:13">
      <c r="A67" s="35" t="s">
        <v>52</v>
      </c>
      <c r="B67" s="36"/>
      <c r="C67" s="37"/>
      <c r="D67" s="16">
        <f>SUM(D2:D66)</f>
        <v>1515</v>
      </c>
      <c r="E67" s="17">
        <f>SUM(E2:E66)</f>
        <v>1356</v>
      </c>
      <c r="F67" s="18">
        <f>SUM(F2:F66)</f>
        <v>709982.67999999993</v>
      </c>
      <c r="G67" s="17">
        <f>SUM(G2:G66)</f>
        <v>2871</v>
      </c>
      <c r="H67" s="19"/>
      <c r="I67" s="20">
        <f>SUM(I2:I66)</f>
        <v>431911.42000000004</v>
      </c>
      <c r="J67" s="21">
        <f>SUM(J2:J66)</f>
        <v>39088</v>
      </c>
      <c r="K67" s="22">
        <f>SUM(K2:K66)</f>
        <v>463718</v>
      </c>
      <c r="L67" s="23">
        <f>SUM(L2:L66)</f>
        <v>1</v>
      </c>
      <c r="M67" s="24">
        <f>SUM(M2:M66)</f>
        <v>505</v>
      </c>
    </row>
    <row r="70" spans="1:13">
      <c r="F70" s="31"/>
    </row>
    <row r="73" spans="1:13">
      <c r="I73" s="33"/>
      <c r="J73" s="32"/>
      <c r="K73" s="33"/>
    </row>
    <row r="74" spans="1:13">
      <c r="I74" s="33"/>
      <c r="J74" s="32"/>
      <c r="K74" s="33"/>
    </row>
    <row r="75" spans="1:13">
      <c r="I75" s="33"/>
      <c r="J75" s="29"/>
      <c r="K75" s="30"/>
    </row>
    <row r="76" spans="1:13">
      <c r="D76" s="25" t="s">
        <v>53</v>
      </c>
      <c r="I76" s="33"/>
      <c r="J76" s="34"/>
      <c r="K76" s="34"/>
    </row>
    <row r="77" spans="1:13">
      <c r="I77" s="33"/>
      <c r="J77" s="32"/>
      <c r="K77" s="33"/>
    </row>
    <row r="78" spans="1:13">
      <c r="F78" s="26"/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</row>
  </sheetData>
  <mergeCells count="1">
    <mergeCell ref="A67:C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0"/>
  <sheetViews>
    <sheetView topLeftCell="A44" workbookViewId="0">
      <selection activeCell="O64" sqref="O64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167</v>
      </c>
      <c r="E2" s="11">
        <f>42+336</f>
        <v>378</v>
      </c>
      <c r="F2" s="9">
        <f>E2*H2</f>
        <v>116473.14</v>
      </c>
      <c r="G2" s="11">
        <f>D2+E2</f>
        <v>545</v>
      </c>
      <c r="H2" s="12">
        <v>308.13</v>
      </c>
      <c r="I2" s="13">
        <f>H2*D2</f>
        <v>51457.71</v>
      </c>
      <c r="J2" s="14">
        <v>326</v>
      </c>
      <c r="K2" s="13">
        <f>J2*D2</f>
        <v>54442</v>
      </c>
      <c r="L2" s="11">
        <f>G2-'3'!D2</f>
        <v>38</v>
      </c>
      <c r="M2" s="13">
        <f>L2*J2</f>
        <v>12388</v>
      </c>
    </row>
    <row r="3" spans="1:13">
      <c r="A3" s="7" t="s">
        <v>12</v>
      </c>
      <c r="B3" s="8" t="s">
        <v>14</v>
      </c>
      <c r="C3" s="9">
        <v>9</v>
      </c>
      <c r="D3" s="10">
        <v>71</v>
      </c>
      <c r="E3" s="11"/>
      <c r="F3" s="9">
        <f t="shared" ref="F3:F66" si="0">E3*H3</f>
        <v>0</v>
      </c>
      <c r="G3" s="11">
        <f t="shared" ref="G3:G66" si="1">D3+E3</f>
        <v>71</v>
      </c>
      <c r="H3" s="12">
        <v>308.19</v>
      </c>
      <c r="I3" s="13">
        <f t="shared" ref="I3:I66" si="2">H3*D3</f>
        <v>21881.49</v>
      </c>
      <c r="J3" s="14">
        <v>326</v>
      </c>
      <c r="K3" s="13">
        <f t="shared" ref="K3:K66" si="3">J3*D3</f>
        <v>23146</v>
      </c>
      <c r="L3" s="11">
        <f>G3-'3'!D3</f>
        <v>3</v>
      </c>
      <c r="M3" s="13">
        <f t="shared" ref="M3:M66" si="4">L3*J3</f>
        <v>978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f>G4-'3'!D4</f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99</v>
      </c>
      <c r="E5" s="11">
        <v>144</v>
      </c>
      <c r="F5" s="9">
        <f t="shared" si="0"/>
        <v>25166.880000000001</v>
      </c>
      <c r="G5" s="11">
        <f t="shared" si="1"/>
        <v>243</v>
      </c>
      <c r="H5" s="12">
        <v>174.77</v>
      </c>
      <c r="I5" s="13">
        <f t="shared" si="2"/>
        <v>17302.23</v>
      </c>
      <c r="J5" s="14">
        <v>192</v>
      </c>
      <c r="K5" s="13">
        <f t="shared" si="3"/>
        <v>19008</v>
      </c>
      <c r="L5" s="11">
        <f>G5-'3'!D5</f>
        <v>19</v>
      </c>
      <c r="M5" s="13">
        <f t="shared" si="4"/>
        <v>3648</v>
      </c>
    </row>
    <row r="6" spans="1:13">
      <c r="A6" s="7" t="s">
        <v>16</v>
      </c>
      <c r="B6" s="8" t="s">
        <v>18</v>
      </c>
      <c r="C6" s="9">
        <v>10</v>
      </c>
      <c r="D6" s="10">
        <v>151</v>
      </c>
      <c r="E6" s="11">
        <v>72</v>
      </c>
      <c r="F6" s="9">
        <f t="shared" si="0"/>
        <v>12583.44</v>
      </c>
      <c r="G6" s="11">
        <f t="shared" si="1"/>
        <v>223</v>
      </c>
      <c r="H6" s="12">
        <v>174.77</v>
      </c>
      <c r="I6" s="13">
        <f t="shared" si="2"/>
        <v>26390.27</v>
      </c>
      <c r="J6" s="14">
        <v>192</v>
      </c>
      <c r="K6" s="13">
        <f t="shared" si="3"/>
        <v>28992</v>
      </c>
      <c r="L6" s="11">
        <f>G6-'3'!D6</f>
        <v>6</v>
      </c>
      <c r="M6" s="13">
        <f t="shared" si="4"/>
        <v>1152</v>
      </c>
    </row>
    <row r="7" spans="1:13">
      <c r="A7" s="7" t="s">
        <v>16</v>
      </c>
      <c r="B7" s="8" t="s">
        <v>19</v>
      </c>
      <c r="C7" s="9">
        <v>10</v>
      </c>
      <c r="D7" s="10">
        <v>64</v>
      </c>
      <c r="E7" s="11"/>
      <c r="F7" s="9">
        <f t="shared" si="0"/>
        <v>0</v>
      </c>
      <c r="G7" s="11">
        <f t="shared" si="1"/>
        <v>64</v>
      </c>
      <c r="H7" s="12">
        <v>174.77</v>
      </c>
      <c r="I7" s="13">
        <f t="shared" si="2"/>
        <v>11185.28</v>
      </c>
      <c r="J7" s="14">
        <v>192</v>
      </c>
      <c r="K7" s="13">
        <f t="shared" si="3"/>
        <v>12288</v>
      </c>
      <c r="L7" s="11">
        <f>G7-'3'!D7</f>
        <v>4</v>
      </c>
      <c r="M7" s="13">
        <f t="shared" si="4"/>
        <v>768</v>
      </c>
    </row>
    <row r="8" spans="1:13">
      <c r="A8" s="7" t="s">
        <v>16</v>
      </c>
      <c r="B8" s="8" t="s">
        <v>20</v>
      </c>
      <c r="C8" s="9">
        <v>10</v>
      </c>
      <c r="D8" s="10">
        <v>34</v>
      </c>
      <c r="E8" s="11">
        <v>72</v>
      </c>
      <c r="F8" s="9">
        <f t="shared" si="0"/>
        <v>12583.44</v>
      </c>
      <c r="G8" s="11">
        <f t="shared" si="1"/>
        <v>106</v>
      </c>
      <c r="H8" s="12">
        <v>174.77</v>
      </c>
      <c r="I8" s="13">
        <f t="shared" si="2"/>
        <v>5942.18</v>
      </c>
      <c r="J8" s="14">
        <v>192</v>
      </c>
      <c r="K8" s="13">
        <f t="shared" si="3"/>
        <v>6528</v>
      </c>
      <c r="L8" s="11">
        <f>G8-'3'!D8</f>
        <v>7</v>
      </c>
      <c r="M8" s="13">
        <f t="shared" si="4"/>
        <v>1344</v>
      </c>
    </row>
    <row r="9" spans="1:13">
      <c r="A9" s="7" t="s">
        <v>16</v>
      </c>
      <c r="B9" s="8" t="s">
        <v>21</v>
      </c>
      <c r="C9" s="9">
        <v>10</v>
      </c>
      <c r="D9" s="10">
        <v>216</v>
      </c>
      <c r="E9" s="11"/>
      <c r="F9" s="9">
        <f t="shared" si="0"/>
        <v>0</v>
      </c>
      <c r="G9" s="11">
        <f t="shared" si="1"/>
        <v>216</v>
      </c>
      <c r="H9" s="12">
        <v>174.77</v>
      </c>
      <c r="I9" s="13">
        <f t="shared" si="2"/>
        <v>37750.32</v>
      </c>
      <c r="J9" s="14">
        <v>192</v>
      </c>
      <c r="K9" s="13">
        <f t="shared" si="3"/>
        <v>41472</v>
      </c>
      <c r="L9" s="11">
        <f>G9-'3'!D9</f>
        <v>4</v>
      </c>
      <c r="M9" s="13">
        <f t="shared" si="4"/>
        <v>768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f>G10-'3'!D10</f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43</v>
      </c>
      <c r="E11" s="11"/>
      <c r="F11" s="9">
        <f t="shared" si="0"/>
        <v>0</v>
      </c>
      <c r="G11" s="11">
        <f t="shared" si="1"/>
        <v>43</v>
      </c>
      <c r="H11" s="12">
        <v>470.8</v>
      </c>
      <c r="I11" s="13">
        <f t="shared" si="2"/>
        <v>20244.400000000001</v>
      </c>
      <c r="J11" s="14">
        <v>505</v>
      </c>
      <c r="K11" s="13">
        <f t="shared" si="3"/>
        <v>21715</v>
      </c>
      <c r="L11" s="11">
        <f>G11-'3'!D11</f>
        <v>2</v>
      </c>
      <c r="M11" s="13">
        <f t="shared" si="4"/>
        <v>1010</v>
      </c>
    </row>
    <row r="12" spans="1:13">
      <c r="A12" s="7" t="s">
        <v>22</v>
      </c>
      <c r="B12" s="8" t="s">
        <v>17</v>
      </c>
      <c r="C12" s="9">
        <v>20</v>
      </c>
      <c r="D12" s="10">
        <v>484</v>
      </c>
      <c r="E12" s="11">
        <v>162</v>
      </c>
      <c r="F12" s="9">
        <f>E12*H12</f>
        <v>77074.739999999991</v>
      </c>
      <c r="G12" s="11">
        <f t="shared" si="1"/>
        <v>646</v>
      </c>
      <c r="H12" s="12">
        <v>475.77</v>
      </c>
      <c r="I12" s="13">
        <f t="shared" si="2"/>
        <v>230272.68</v>
      </c>
      <c r="J12" s="14">
        <v>505</v>
      </c>
      <c r="K12" s="13">
        <f t="shared" si="3"/>
        <v>244420</v>
      </c>
      <c r="L12" s="11">
        <f>G12-'3'!D12</f>
        <v>93</v>
      </c>
      <c r="M12" s="13">
        <f t="shared" si="4"/>
        <v>46965</v>
      </c>
    </row>
    <row r="13" spans="1:13">
      <c r="A13" s="7" t="s">
        <v>22</v>
      </c>
      <c r="B13" s="8" t="s">
        <v>18</v>
      </c>
      <c r="C13" s="9">
        <v>20</v>
      </c>
      <c r="D13" s="10">
        <v>398</v>
      </c>
      <c r="E13" s="11"/>
      <c r="F13" s="9">
        <f t="shared" si="0"/>
        <v>0</v>
      </c>
      <c r="G13" s="11">
        <f t="shared" si="1"/>
        <v>398</v>
      </c>
      <c r="H13" s="12">
        <v>475.77</v>
      </c>
      <c r="I13" s="13">
        <f t="shared" si="2"/>
        <v>189356.46</v>
      </c>
      <c r="J13" s="14">
        <v>505</v>
      </c>
      <c r="K13" s="13">
        <f t="shared" si="3"/>
        <v>200990</v>
      </c>
      <c r="L13" s="11">
        <f>G13-'3'!D13</f>
        <v>47</v>
      </c>
      <c r="M13" s="13">
        <f t="shared" si="4"/>
        <v>23735</v>
      </c>
    </row>
    <row r="14" spans="1:13">
      <c r="A14" s="7" t="s">
        <v>22</v>
      </c>
      <c r="B14" s="8" t="s">
        <v>19</v>
      </c>
      <c r="C14" s="9">
        <v>20</v>
      </c>
      <c r="D14" s="10">
        <v>70</v>
      </c>
      <c r="E14" s="11"/>
      <c r="F14" s="9">
        <f t="shared" si="0"/>
        <v>0</v>
      </c>
      <c r="G14" s="11">
        <f t="shared" si="1"/>
        <v>70</v>
      </c>
      <c r="H14" s="12">
        <v>470.8</v>
      </c>
      <c r="I14" s="13">
        <f t="shared" si="2"/>
        <v>32956</v>
      </c>
      <c r="J14" s="14">
        <v>505</v>
      </c>
      <c r="K14" s="13">
        <f t="shared" si="3"/>
        <v>35350</v>
      </c>
      <c r="L14" s="11">
        <f>G14-'3'!D14</f>
        <v>7</v>
      </c>
      <c r="M14" s="13">
        <f t="shared" si="4"/>
        <v>3535</v>
      </c>
    </row>
    <row r="15" spans="1:13">
      <c r="A15" s="7" t="s">
        <v>22</v>
      </c>
      <c r="B15" s="8" t="s">
        <v>20</v>
      </c>
      <c r="C15" s="9">
        <v>20</v>
      </c>
      <c r="D15" s="10">
        <v>65</v>
      </c>
      <c r="E15" s="11"/>
      <c r="F15" s="9">
        <f t="shared" si="0"/>
        <v>0</v>
      </c>
      <c r="G15" s="11">
        <f t="shared" si="1"/>
        <v>65</v>
      </c>
      <c r="H15" s="12">
        <v>470.8</v>
      </c>
      <c r="I15" s="13">
        <f t="shared" si="2"/>
        <v>30602</v>
      </c>
      <c r="J15" s="14">
        <v>505</v>
      </c>
      <c r="K15" s="13">
        <f t="shared" si="3"/>
        <v>32825</v>
      </c>
      <c r="L15" s="11">
        <f>G15-'3'!D15</f>
        <v>7</v>
      </c>
      <c r="M15" s="13">
        <f t="shared" si="4"/>
        <v>3535</v>
      </c>
    </row>
    <row r="16" spans="1:13">
      <c r="A16" s="7" t="s">
        <v>22</v>
      </c>
      <c r="B16" s="8" t="s">
        <v>21</v>
      </c>
      <c r="C16" s="9">
        <v>20</v>
      </c>
      <c r="D16" s="10">
        <v>2</v>
      </c>
      <c r="E16" s="11"/>
      <c r="F16" s="9">
        <f t="shared" si="0"/>
        <v>0</v>
      </c>
      <c r="G16" s="11">
        <f t="shared" si="1"/>
        <v>2</v>
      </c>
      <c r="H16" s="12">
        <v>470.8</v>
      </c>
      <c r="I16" s="13">
        <f t="shared" si="2"/>
        <v>941.6</v>
      </c>
      <c r="J16" s="14">
        <v>505</v>
      </c>
      <c r="K16" s="13">
        <f t="shared" si="3"/>
        <v>1010</v>
      </c>
      <c r="L16" s="11">
        <f>G16-'3'!D16</f>
        <v>2</v>
      </c>
      <c r="M16" s="13">
        <f t="shared" si="4"/>
        <v>1010</v>
      </c>
    </row>
    <row r="17" spans="1:13">
      <c r="A17" s="7" t="s">
        <v>22</v>
      </c>
      <c r="B17" s="8" t="s">
        <v>29</v>
      </c>
      <c r="C17" s="9">
        <v>11</v>
      </c>
      <c r="D17" s="10">
        <v>102</v>
      </c>
      <c r="E17" s="11"/>
      <c r="F17" s="9">
        <f t="shared" si="0"/>
        <v>0</v>
      </c>
      <c r="G17" s="11">
        <f t="shared" si="1"/>
        <v>102</v>
      </c>
      <c r="H17" s="12">
        <v>235.59</v>
      </c>
      <c r="I17" s="13">
        <f t="shared" si="2"/>
        <v>24030.18</v>
      </c>
      <c r="J17" s="14">
        <v>250</v>
      </c>
      <c r="K17" s="13">
        <f t="shared" si="3"/>
        <v>25500</v>
      </c>
      <c r="L17" s="11">
        <f>G17-'3'!D17</f>
        <v>8</v>
      </c>
      <c r="M17" s="13">
        <f t="shared" si="4"/>
        <v>2000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f>G18-'3'!D18</f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/>
      <c r="E19" s="11"/>
      <c r="F19" s="9">
        <f t="shared" si="0"/>
        <v>0</v>
      </c>
      <c r="G19" s="11">
        <f t="shared" si="1"/>
        <v>0</v>
      </c>
      <c r="H19" s="12">
        <v>204</v>
      </c>
      <c r="I19" s="13">
        <f t="shared" si="2"/>
        <v>0</v>
      </c>
      <c r="J19" s="14">
        <v>230</v>
      </c>
      <c r="K19" s="13">
        <f t="shared" si="3"/>
        <v>0</v>
      </c>
      <c r="L19" s="11">
        <f>G19-'3'!D19</f>
        <v>0</v>
      </c>
      <c r="M19" s="13">
        <f t="shared" si="4"/>
        <v>0</v>
      </c>
    </row>
    <row r="20" spans="1:13">
      <c r="A20" s="7" t="s">
        <v>22</v>
      </c>
      <c r="B20" s="8" t="s">
        <v>25</v>
      </c>
      <c r="C20" s="9">
        <v>10</v>
      </c>
      <c r="D20" s="10"/>
      <c r="E20" s="11"/>
      <c r="F20" s="9">
        <f t="shared" si="0"/>
        <v>0</v>
      </c>
      <c r="G20" s="11">
        <f t="shared" si="1"/>
        <v>0</v>
      </c>
      <c r="H20" s="12">
        <v>204</v>
      </c>
      <c r="I20" s="13">
        <f>H20*D20</f>
        <v>0</v>
      </c>
      <c r="J20" s="14">
        <v>230</v>
      </c>
      <c r="K20" s="13">
        <f t="shared" si="3"/>
        <v>0</v>
      </c>
      <c r="L20" s="11">
        <f>G20-'3'!D20</f>
        <v>0</v>
      </c>
      <c r="M20" s="13">
        <f t="shared" si="4"/>
        <v>0</v>
      </c>
    </row>
    <row r="21" spans="1:13">
      <c r="A21" s="7" t="s">
        <v>22</v>
      </c>
      <c r="B21" s="8" t="s">
        <v>26</v>
      </c>
      <c r="C21" s="9">
        <v>10</v>
      </c>
      <c r="D21" s="10">
        <v>32</v>
      </c>
      <c r="E21" s="11"/>
      <c r="F21" s="9">
        <f t="shared" si="0"/>
        <v>0</v>
      </c>
      <c r="G21" s="11">
        <f t="shared" si="1"/>
        <v>32</v>
      </c>
      <c r="H21" s="12">
        <v>204</v>
      </c>
      <c r="I21" s="13">
        <f t="shared" si="2"/>
        <v>6528</v>
      </c>
      <c r="J21" s="14">
        <v>230</v>
      </c>
      <c r="K21" s="13">
        <f t="shared" si="3"/>
        <v>7360</v>
      </c>
      <c r="L21" s="11">
        <f>G21-'3'!D21</f>
        <v>2</v>
      </c>
      <c r="M21" s="13">
        <f t="shared" si="4"/>
        <v>460</v>
      </c>
    </row>
    <row r="22" spans="1:13">
      <c r="A22" s="7" t="s">
        <v>22</v>
      </c>
      <c r="B22" s="8" t="s">
        <v>13</v>
      </c>
      <c r="C22" s="9">
        <v>19</v>
      </c>
      <c r="D22" s="10">
        <v>115</v>
      </c>
      <c r="E22" s="11"/>
      <c r="F22" s="9">
        <f t="shared" si="0"/>
        <v>0</v>
      </c>
      <c r="G22" s="11">
        <f t="shared" si="1"/>
        <v>115</v>
      </c>
      <c r="H22" s="12">
        <v>474.46</v>
      </c>
      <c r="I22" s="13">
        <f t="shared" si="2"/>
        <v>54562.899999999994</v>
      </c>
      <c r="J22" s="14">
        <v>505</v>
      </c>
      <c r="K22" s="13">
        <f t="shared" si="3"/>
        <v>58075</v>
      </c>
      <c r="L22" s="11">
        <f>G22-'3'!D22</f>
        <v>16</v>
      </c>
      <c r="M22" s="13">
        <f t="shared" si="4"/>
        <v>8080</v>
      </c>
    </row>
    <row r="23" spans="1:13">
      <c r="A23" s="7" t="s">
        <v>22</v>
      </c>
      <c r="B23" s="8" t="s">
        <v>27</v>
      </c>
      <c r="C23" s="9">
        <v>24</v>
      </c>
      <c r="D23" s="10">
        <v>103</v>
      </c>
      <c r="E23" s="11"/>
      <c r="F23" s="9">
        <f t="shared" si="0"/>
        <v>0</v>
      </c>
      <c r="G23" s="11">
        <f t="shared" si="1"/>
        <v>103</v>
      </c>
      <c r="H23" s="12">
        <v>593.91999999999996</v>
      </c>
      <c r="I23" s="13">
        <f t="shared" si="2"/>
        <v>61173.759999999995</v>
      </c>
      <c r="J23" s="14">
        <v>630</v>
      </c>
      <c r="K23" s="13">
        <f t="shared" si="3"/>
        <v>64890</v>
      </c>
      <c r="L23" s="11">
        <f>G23-'3'!D23</f>
        <v>20</v>
      </c>
      <c r="M23" s="13">
        <f t="shared" si="4"/>
        <v>12600</v>
      </c>
    </row>
    <row r="24" spans="1:13">
      <c r="A24" s="7" t="s">
        <v>30</v>
      </c>
      <c r="B24" s="8" t="s">
        <v>17</v>
      </c>
      <c r="C24" s="9">
        <v>25</v>
      </c>
      <c r="D24" s="10">
        <v>9</v>
      </c>
      <c r="E24" s="10">
        <v>54</v>
      </c>
      <c r="F24" s="9">
        <f t="shared" si="0"/>
        <v>24478.2</v>
      </c>
      <c r="G24" s="11">
        <f t="shared" si="1"/>
        <v>63</v>
      </c>
      <c r="H24" s="12">
        <v>453.3</v>
      </c>
      <c r="I24" s="13">
        <f t="shared" si="2"/>
        <v>4079.7000000000003</v>
      </c>
      <c r="J24" s="14">
        <v>493</v>
      </c>
      <c r="K24" s="13">
        <f t="shared" si="3"/>
        <v>4437</v>
      </c>
      <c r="L24" s="11">
        <f>G24-'3'!D24</f>
        <v>0</v>
      </c>
      <c r="M24" s="13">
        <f t="shared" si="4"/>
        <v>0</v>
      </c>
    </row>
    <row r="25" spans="1:13">
      <c r="A25" s="7" t="s">
        <v>30</v>
      </c>
      <c r="B25" s="8" t="s">
        <v>18</v>
      </c>
      <c r="C25" s="9">
        <v>25</v>
      </c>
      <c r="D25" s="10"/>
      <c r="E25" s="10">
        <v>54</v>
      </c>
      <c r="F25" s="9">
        <f t="shared" si="0"/>
        <v>24478.2</v>
      </c>
      <c r="G25" s="11">
        <f t="shared" si="1"/>
        <v>54</v>
      </c>
      <c r="H25" s="12">
        <v>453.3</v>
      </c>
      <c r="I25" s="13">
        <f t="shared" si="2"/>
        <v>0</v>
      </c>
      <c r="J25" s="14">
        <v>493</v>
      </c>
      <c r="K25" s="13">
        <f t="shared" si="3"/>
        <v>0</v>
      </c>
      <c r="L25" s="11">
        <f>G25-'3'!D25</f>
        <v>0</v>
      </c>
      <c r="M25" s="13">
        <f t="shared" si="4"/>
        <v>0</v>
      </c>
    </row>
    <row r="26" spans="1:13">
      <c r="A26" s="7" t="s">
        <v>30</v>
      </c>
      <c r="B26" s="8" t="s">
        <v>20</v>
      </c>
      <c r="C26" s="9">
        <v>25</v>
      </c>
      <c r="D26" s="10"/>
      <c r="E26" s="10"/>
      <c r="F26" s="9">
        <f t="shared" si="0"/>
        <v>0</v>
      </c>
      <c r="G26" s="11">
        <f t="shared" si="1"/>
        <v>0</v>
      </c>
      <c r="H26" s="12">
        <v>453.3</v>
      </c>
      <c r="I26" s="13">
        <f t="shared" si="2"/>
        <v>0</v>
      </c>
      <c r="J26" s="14">
        <v>493</v>
      </c>
      <c r="K26" s="13">
        <f t="shared" si="3"/>
        <v>0</v>
      </c>
      <c r="L26" s="11">
        <f>G26-'3'!D26</f>
        <v>0</v>
      </c>
      <c r="M26" s="13">
        <f t="shared" si="4"/>
        <v>0</v>
      </c>
    </row>
    <row r="27" spans="1:13">
      <c r="A27" s="7" t="s">
        <v>30</v>
      </c>
      <c r="B27" s="8" t="s">
        <v>21</v>
      </c>
      <c r="C27" s="9">
        <v>25</v>
      </c>
      <c r="D27" s="10"/>
      <c r="E27" s="10"/>
      <c r="F27" s="9">
        <f t="shared" si="0"/>
        <v>0</v>
      </c>
      <c r="G27" s="11">
        <f t="shared" si="1"/>
        <v>0</v>
      </c>
      <c r="H27" s="12">
        <v>453.3</v>
      </c>
      <c r="I27" s="13">
        <f t="shared" si="2"/>
        <v>0</v>
      </c>
      <c r="J27" s="14">
        <v>493</v>
      </c>
      <c r="K27" s="13">
        <f t="shared" si="3"/>
        <v>0</v>
      </c>
      <c r="L27" s="11">
        <f>G27-'3'!D27</f>
        <v>0</v>
      </c>
      <c r="M27" s="13">
        <f t="shared" si="4"/>
        <v>0</v>
      </c>
    </row>
    <row r="28" spans="1:13">
      <c r="A28" s="7" t="s">
        <v>31</v>
      </c>
      <c r="B28" s="7" t="s">
        <v>17</v>
      </c>
      <c r="C28" s="9">
        <v>40</v>
      </c>
      <c r="D28" s="10"/>
      <c r="E28" s="10"/>
      <c r="F28" s="9">
        <f t="shared" si="0"/>
        <v>0</v>
      </c>
      <c r="G28" s="11">
        <f t="shared" si="1"/>
        <v>0</v>
      </c>
      <c r="H28" s="12">
        <v>821.36</v>
      </c>
      <c r="I28" s="13">
        <f t="shared" si="2"/>
        <v>0</v>
      </c>
      <c r="J28" s="14">
        <v>878</v>
      </c>
      <c r="K28" s="13">
        <f t="shared" si="3"/>
        <v>0</v>
      </c>
      <c r="L28" s="11">
        <f>G28-'3'!D28</f>
        <v>0</v>
      </c>
      <c r="M28" s="13">
        <f t="shared" si="4"/>
        <v>0</v>
      </c>
    </row>
    <row r="29" spans="1:13">
      <c r="A29" s="7" t="s">
        <v>31</v>
      </c>
      <c r="B29" s="7" t="s">
        <v>18</v>
      </c>
      <c r="C29" s="9">
        <v>40</v>
      </c>
      <c r="D29" s="10"/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f>G29-'3'!D29</f>
        <v>0</v>
      </c>
      <c r="M29" s="13">
        <f t="shared" si="4"/>
        <v>0</v>
      </c>
    </row>
    <row r="30" spans="1:13">
      <c r="A30" s="7" t="s">
        <v>31</v>
      </c>
      <c r="B30" s="7" t="s">
        <v>19</v>
      </c>
      <c r="C30" s="9">
        <v>40</v>
      </c>
      <c r="D30" s="10"/>
      <c r="E30" s="10"/>
      <c r="F30" s="9">
        <f t="shared" si="0"/>
        <v>0</v>
      </c>
      <c r="G30" s="11">
        <f t="shared" si="1"/>
        <v>0</v>
      </c>
      <c r="H30" s="12">
        <v>817.58</v>
      </c>
      <c r="I30" s="13">
        <f t="shared" si="2"/>
        <v>0</v>
      </c>
      <c r="J30" s="14">
        <v>878</v>
      </c>
      <c r="K30" s="13">
        <f t="shared" si="3"/>
        <v>0</v>
      </c>
      <c r="L30" s="11">
        <f>G30-'3'!D30</f>
        <v>0</v>
      </c>
      <c r="M30" s="13">
        <f t="shared" si="4"/>
        <v>0</v>
      </c>
    </row>
    <row r="31" spans="1:13">
      <c r="A31" s="7" t="s">
        <v>31</v>
      </c>
      <c r="B31" s="7" t="s">
        <v>20</v>
      </c>
      <c r="C31" s="9">
        <v>40</v>
      </c>
      <c r="D31" s="10"/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f>G31-'3'!D31</f>
        <v>0</v>
      </c>
      <c r="M31" s="13">
        <f t="shared" si="4"/>
        <v>0</v>
      </c>
    </row>
    <row r="32" spans="1:13">
      <c r="A32" s="7" t="s">
        <v>31</v>
      </c>
      <c r="B32" s="7" t="s">
        <v>21</v>
      </c>
      <c r="C32" s="9">
        <v>40</v>
      </c>
      <c r="D32" s="10"/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f>G32-'3'!D32</f>
        <v>0</v>
      </c>
      <c r="M32" s="13">
        <f t="shared" si="4"/>
        <v>0</v>
      </c>
    </row>
    <row r="33" spans="1:13">
      <c r="A33" s="7" t="s">
        <v>31</v>
      </c>
      <c r="B33" s="7" t="s">
        <v>32</v>
      </c>
      <c r="C33" s="9">
        <v>40</v>
      </c>
      <c r="D33" s="10"/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f>G33-'3'!D33</f>
        <v>0</v>
      </c>
      <c r="M33" s="13">
        <f t="shared" si="4"/>
        <v>0</v>
      </c>
    </row>
    <row r="34" spans="1:13">
      <c r="A34" s="7" t="s">
        <v>31</v>
      </c>
      <c r="B34" s="7" t="s">
        <v>33</v>
      </c>
      <c r="C34" s="9">
        <v>60</v>
      </c>
      <c r="D34" s="10">
        <v>1</v>
      </c>
      <c r="E34" s="10">
        <v>143</v>
      </c>
      <c r="F34" s="9">
        <f t="shared" si="0"/>
        <v>149098.95000000001</v>
      </c>
      <c r="G34" s="11">
        <f t="shared" si="1"/>
        <v>144</v>
      </c>
      <c r="H34" s="12">
        <v>1042.6500000000001</v>
      </c>
      <c r="I34" s="13">
        <f t="shared" si="2"/>
        <v>1042.6500000000001</v>
      </c>
      <c r="J34" s="14">
        <v>1110</v>
      </c>
      <c r="K34" s="13">
        <f t="shared" si="3"/>
        <v>1110</v>
      </c>
      <c r="L34" s="11">
        <f>G34-'3'!D34</f>
        <v>12</v>
      </c>
      <c r="M34" s="13">
        <f t="shared" si="4"/>
        <v>13320</v>
      </c>
    </row>
    <row r="35" spans="1:13">
      <c r="A35" s="7" t="s">
        <v>34</v>
      </c>
      <c r="B35" s="7" t="s">
        <v>35</v>
      </c>
      <c r="C35" s="9">
        <v>7</v>
      </c>
      <c r="D35" s="10">
        <v>16</v>
      </c>
      <c r="E35" s="10"/>
      <c r="F35" s="9">
        <f t="shared" si="0"/>
        <v>0</v>
      </c>
      <c r="G35" s="11">
        <f t="shared" si="1"/>
        <v>16</v>
      </c>
      <c r="H35" s="12">
        <v>126.24</v>
      </c>
      <c r="I35" s="13">
        <f t="shared" si="2"/>
        <v>2019.84</v>
      </c>
      <c r="J35" s="14">
        <v>140</v>
      </c>
      <c r="K35" s="13">
        <f t="shared" si="3"/>
        <v>2240</v>
      </c>
      <c r="L35" s="11">
        <f>G35-'3'!D35</f>
        <v>0</v>
      </c>
      <c r="M35" s="13">
        <f t="shared" si="4"/>
        <v>0</v>
      </c>
    </row>
    <row r="36" spans="1:13">
      <c r="A36" s="7" t="s">
        <v>36</v>
      </c>
      <c r="B36" s="7" t="s">
        <v>37</v>
      </c>
      <c r="C36" s="9">
        <v>125</v>
      </c>
      <c r="D36" s="10">
        <v>3</v>
      </c>
      <c r="E36" s="10">
        <v>39</v>
      </c>
      <c r="F36" s="9">
        <f t="shared" si="0"/>
        <v>79971.06</v>
      </c>
      <c r="G36" s="11">
        <f t="shared" si="1"/>
        <v>42</v>
      </c>
      <c r="H36" s="12">
        <v>2050.54</v>
      </c>
      <c r="I36" s="13">
        <f t="shared" si="2"/>
        <v>6151.62</v>
      </c>
      <c r="J36" s="14">
        <v>2175</v>
      </c>
      <c r="K36" s="13">
        <f t="shared" si="3"/>
        <v>6525</v>
      </c>
      <c r="L36" s="11">
        <f>G36-'3'!D36</f>
        <v>4</v>
      </c>
      <c r="M36" s="13">
        <f t="shared" si="4"/>
        <v>8700</v>
      </c>
    </row>
    <row r="37" spans="1:13">
      <c r="A37" s="7" t="s">
        <v>38</v>
      </c>
      <c r="B37" s="7" t="s">
        <v>17</v>
      </c>
      <c r="C37" s="9">
        <v>20</v>
      </c>
      <c r="D37" s="10">
        <v>3</v>
      </c>
      <c r="E37" s="10"/>
      <c r="F37" s="9">
        <f t="shared" si="0"/>
        <v>0</v>
      </c>
      <c r="G37" s="11">
        <f t="shared" si="1"/>
        <v>3</v>
      </c>
      <c r="H37" s="12">
        <v>399.19</v>
      </c>
      <c r="I37" s="13">
        <f t="shared" si="2"/>
        <v>1197.57</v>
      </c>
      <c r="J37" s="14">
        <v>420</v>
      </c>
      <c r="K37" s="13">
        <f t="shared" si="3"/>
        <v>1260</v>
      </c>
      <c r="L37" s="11">
        <f>G37-'3'!D37</f>
        <v>1</v>
      </c>
      <c r="M37" s="13">
        <f t="shared" si="4"/>
        <v>420</v>
      </c>
    </row>
    <row r="38" spans="1:13">
      <c r="A38" s="7" t="s">
        <v>38</v>
      </c>
      <c r="B38" s="7" t="s">
        <v>18</v>
      </c>
      <c r="C38" s="9">
        <v>20</v>
      </c>
      <c r="D38" s="10"/>
      <c r="E38" s="10"/>
      <c r="F38" s="9">
        <f t="shared" si="0"/>
        <v>0</v>
      </c>
      <c r="G38" s="11">
        <f t="shared" si="1"/>
        <v>0</v>
      </c>
      <c r="H38" s="12">
        <v>399.19</v>
      </c>
      <c r="I38" s="13">
        <f t="shared" si="2"/>
        <v>0</v>
      </c>
      <c r="J38" s="14">
        <v>420</v>
      </c>
      <c r="K38" s="13">
        <f t="shared" si="3"/>
        <v>0</v>
      </c>
      <c r="L38" s="11">
        <f>G38-'3'!D38</f>
        <v>0</v>
      </c>
      <c r="M38" s="13">
        <f t="shared" si="4"/>
        <v>0</v>
      </c>
    </row>
    <row r="39" spans="1:13">
      <c r="A39" s="7" t="s">
        <v>38</v>
      </c>
      <c r="B39" s="7" t="s">
        <v>21</v>
      </c>
      <c r="C39" s="9">
        <v>20</v>
      </c>
      <c r="D39" s="10"/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f>G39-'3'!D39</f>
        <v>0</v>
      </c>
      <c r="M39" s="13">
        <f t="shared" si="4"/>
        <v>0</v>
      </c>
    </row>
    <row r="40" spans="1:13">
      <c r="A40" s="7" t="s">
        <v>39</v>
      </c>
      <c r="B40" s="7" t="s">
        <v>35</v>
      </c>
      <c r="C40" s="9">
        <v>9</v>
      </c>
      <c r="D40" s="10">
        <v>1</v>
      </c>
      <c r="E40" s="10">
        <v>72</v>
      </c>
      <c r="F40" s="9">
        <f t="shared" si="0"/>
        <v>12541.68</v>
      </c>
      <c r="G40" s="11">
        <f t="shared" si="1"/>
        <v>73</v>
      </c>
      <c r="H40" s="12">
        <v>174.19</v>
      </c>
      <c r="I40" s="13">
        <f t="shared" si="2"/>
        <v>174.19</v>
      </c>
      <c r="J40" s="14">
        <v>185</v>
      </c>
      <c r="K40" s="13">
        <f t="shared" si="3"/>
        <v>185</v>
      </c>
      <c r="L40" s="11">
        <f>G40-'3'!D40</f>
        <v>0</v>
      </c>
      <c r="M40" s="13">
        <f t="shared" si="4"/>
        <v>0</v>
      </c>
    </row>
    <row r="41" spans="1:13">
      <c r="A41" s="7" t="s">
        <v>40</v>
      </c>
      <c r="B41" s="7" t="s">
        <v>13</v>
      </c>
      <c r="C41" s="9">
        <v>35</v>
      </c>
      <c r="D41" s="10">
        <v>37</v>
      </c>
      <c r="E41" s="10"/>
      <c r="F41" s="9">
        <f t="shared" si="0"/>
        <v>0</v>
      </c>
      <c r="G41" s="11">
        <f t="shared" si="1"/>
        <v>37</v>
      </c>
      <c r="H41" s="12">
        <v>748.13</v>
      </c>
      <c r="I41" s="13">
        <f t="shared" si="2"/>
        <v>27680.81</v>
      </c>
      <c r="J41" s="14">
        <v>795</v>
      </c>
      <c r="K41" s="13">
        <f t="shared" si="3"/>
        <v>29415</v>
      </c>
      <c r="L41" s="11">
        <f>G41-'3'!D41</f>
        <v>4</v>
      </c>
      <c r="M41" s="13">
        <f t="shared" si="4"/>
        <v>3180</v>
      </c>
    </row>
    <row r="42" spans="1:13">
      <c r="A42" s="7" t="s">
        <v>41</v>
      </c>
      <c r="B42" s="7" t="s">
        <v>17</v>
      </c>
      <c r="C42" s="9">
        <v>40</v>
      </c>
      <c r="D42" s="10">
        <v>36</v>
      </c>
      <c r="E42" s="10"/>
      <c r="F42" s="9">
        <f t="shared" si="0"/>
        <v>0</v>
      </c>
      <c r="G42" s="11">
        <f t="shared" si="1"/>
        <v>36</v>
      </c>
      <c r="H42" s="12">
        <v>842.86</v>
      </c>
      <c r="I42" s="13">
        <f t="shared" si="2"/>
        <v>30342.959999999999</v>
      </c>
      <c r="J42" s="14">
        <v>900</v>
      </c>
      <c r="K42" s="13">
        <f t="shared" si="3"/>
        <v>32400</v>
      </c>
      <c r="L42" s="11">
        <f>G42-'3'!D42</f>
        <v>5</v>
      </c>
      <c r="M42" s="13">
        <f t="shared" si="4"/>
        <v>4500</v>
      </c>
    </row>
    <row r="43" spans="1:13">
      <c r="A43" s="7" t="s">
        <v>41</v>
      </c>
      <c r="B43" s="7" t="s">
        <v>18</v>
      </c>
      <c r="C43" s="9">
        <v>40</v>
      </c>
      <c r="D43" s="10">
        <v>41</v>
      </c>
      <c r="E43" s="10"/>
      <c r="F43" s="9">
        <f t="shared" si="0"/>
        <v>0</v>
      </c>
      <c r="G43" s="11">
        <f t="shared" si="1"/>
        <v>41</v>
      </c>
      <c r="H43" s="12">
        <v>842.86</v>
      </c>
      <c r="I43" s="13">
        <f t="shared" si="2"/>
        <v>34557.26</v>
      </c>
      <c r="J43" s="14">
        <v>900</v>
      </c>
      <c r="K43" s="13">
        <f t="shared" si="3"/>
        <v>36900</v>
      </c>
      <c r="L43" s="11">
        <f>G43-'3'!D43</f>
        <v>4</v>
      </c>
      <c r="M43" s="13">
        <f t="shared" si="4"/>
        <v>3600</v>
      </c>
    </row>
    <row r="44" spans="1:13">
      <c r="A44" s="7" t="s">
        <v>41</v>
      </c>
      <c r="B44" s="7" t="s">
        <v>19</v>
      </c>
      <c r="C44" s="9">
        <v>40</v>
      </c>
      <c r="D44" s="10"/>
      <c r="E44" s="10"/>
      <c r="F44" s="9">
        <f t="shared" si="0"/>
        <v>0</v>
      </c>
      <c r="G44" s="11">
        <f t="shared" si="1"/>
        <v>0</v>
      </c>
      <c r="H44" s="12">
        <v>839.68</v>
      </c>
      <c r="I44" s="13">
        <f t="shared" si="2"/>
        <v>0</v>
      </c>
      <c r="J44" s="14">
        <v>900</v>
      </c>
      <c r="K44" s="13">
        <f t="shared" si="3"/>
        <v>0</v>
      </c>
      <c r="L44" s="11">
        <f>G44-'3'!D44</f>
        <v>0</v>
      </c>
      <c r="M44" s="13">
        <f t="shared" si="4"/>
        <v>0</v>
      </c>
    </row>
    <row r="45" spans="1:13">
      <c r="A45" s="7" t="s">
        <v>41</v>
      </c>
      <c r="B45" s="7" t="s">
        <v>20</v>
      </c>
      <c r="C45" s="9">
        <v>40</v>
      </c>
      <c r="D45" s="10"/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f>G45-'3'!D45</f>
        <v>0</v>
      </c>
      <c r="M45" s="13">
        <f t="shared" si="4"/>
        <v>0</v>
      </c>
    </row>
    <row r="46" spans="1:13">
      <c r="A46" s="7" t="s">
        <v>41</v>
      </c>
      <c r="B46" s="7" t="s">
        <v>21</v>
      </c>
      <c r="C46" s="9">
        <v>40</v>
      </c>
      <c r="D46" s="10"/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f>G46-'3'!D46</f>
        <v>0</v>
      </c>
      <c r="M46" s="13">
        <f t="shared" si="4"/>
        <v>0</v>
      </c>
    </row>
    <row r="47" spans="1:13">
      <c r="A47" s="7" t="s">
        <v>42</v>
      </c>
      <c r="B47" s="7" t="s">
        <v>29</v>
      </c>
      <c r="C47" s="9">
        <v>18</v>
      </c>
      <c r="D47" s="10">
        <v>54</v>
      </c>
      <c r="E47" s="10"/>
      <c r="F47" s="9">
        <f t="shared" si="0"/>
        <v>0</v>
      </c>
      <c r="G47" s="11">
        <f t="shared" si="1"/>
        <v>54</v>
      </c>
      <c r="H47" s="12">
        <v>375.68</v>
      </c>
      <c r="I47" s="13">
        <f t="shared" si="2"/>
        <v>20286.72</v>
      </c>
      <c r="J47" s="14">
        <v>400</v>
      </c>
      <c r="K47" s="13">
        <f t="shared" si="3"/>
        <v>21600</v>
      </c>
      <c r="L47" s="11">
        <f>G47-'3'!D47</f>
        <v>6</v>
      </c>
      <c r="M47" s="13">
        <f t="shared" si="4"/>
        <v>2400</v>
      </c>
    </row>
    <row r="48" spans="1:13">
      <c r="A48" s="7" t="s">
        <v>54</v>
      </c>
      <c r="B48" s="7" t="s">
        <v>44</v>
      </c>
      <c r="C48" s="9">
        <v>50</v>
      </c>
      <c r="D48" s="11">
        <v>78</v>
      </c>
      <c r="E48" s="11"/>
      <c r="F48" s="9">
        <f t="shared" si="0"/>
        <v>0</v>
      </c>
      <c r="G48" s="11">
        <f t="shared" si="1"/>
        <v>78</v>
      </c>
      <c r="H48" s="12">
        <v>670.32</v>
      </c>
      <c r="I48" s="13">
        <f t="shared" si="2"/>
        <v>52284.960000000006</v>
      </c>
      <c r="J48" s="14">
        <v>710</v>
      </c>
      <c r="K48" s="13">
        <f t="shared" si="3"/>
        <v>55380</v>
      </c>
      <c r="L48" s="11">
        <f>G48-'3'!D48</f>
        <v>5</v>
      </c>
      <c r="M48" s="13">
        <f t="shared" si="4"/>
        <v>3550</v>
      </c>
    </row>
    <row r="49" spans="1:13">
      <c r="A49" s="7" t="s">
        <v>43</v>
      </c>
      <c r="B49" s="7" t="s">
        <v>17</v>
      </c>
      <c r="C49" s="9">
        <v>50</v>
      </c>
      <c r="D49" s="10">
        <v>55</v>
      </c>
      <c r="E49" s="10"/>
      <c r="F49" s="9">
        <f t="shared" si="0"/>
        <v>0</v>
      </c>
      <c r="G49" s="11">
        <f t="shared" si="1"/>
        <v>55</v>
      </c>
      <c r="H49" s="12">
        <v>661.22</v>
      </c>
      <c r="I49" s="13">
        <f t="shared" si="2"/>
        <v>36367.1</v>
      </c>
      <c r="J49" s="14">
        <v>710</v>
      </c>
      <c r="K49" s="13">
        <f t="shared" si="3"/>
        <v>39050</v>
      </c>
      <c r="L49" s="11">
        <f>G49-'3'!D49</f>
        <v>23</v>
      </c>
      <c r="M49" s="13">
        <f t="shared" si="4"/>
        <v>16330</v>
      </c>
    </row>
    <row r="50" spans="1:13">
      <c r="A50" s="7" t="s">
        <v>43</v>
      </c>
      <c r="B50" s="7" t="s">
        <v>18</v>
      </c>
      <c r="C50" s="9">
        <v>50</v>
      </c>
      <c r="D50" s="10">
        <v>32</v>
      </c>
      <c r="E50" s="10"/>
      <c r="F50" s="9">
        <f t="shared" si="0"/>
        <v>0</v>
      </c>
      <c r="G50" s="11">
        <f t="shared" si="1"/>
        <v>32</v>
      </c>
      <c r="H50" s="12">
        <v>661.22</v>
      </c>
      <c r="I50" s="13">
        <f t="shared" si="2"/>
        <v>21159.040000000001</v>
      </c>
      <c r="J50" s="14">
        <v>710</v>
      </c>
      <c r="K50" s="13">
        <f t="shared" si="3"/>
        <v>22720</v>
      </c>
      <c r="L50" s="11">
        <f>G50-'3'!D50</f>
        <v>9</v>
      </c>
      <c r="M50" s="13">
        <f t="shared" si="4"/>
        <v>6390</v>
      </c>
    </row>
    <row r="51" spans="1:13">
      <c r="A51" s="7" t="s">
        <v>43</v>
      </c>
      <c r="B51" s="7" t="s">
        <v>19</v>
      </c>
      <c r="C51" s="9">
        <v>50</v>
      </c>
      <c r="D51" s="10"/>
      <c r="E51" s="10"/>
      <c r="F51" s="9">
        <f t="shared" si="0"/>
        <v>0</v>
      </c>
      <c r="G51" s="11">
        <f t="shared" si="1"/>
        <v>0</v>
      </c>
      <c r="H51" s="12">
        <v>661.22</v>
      </c>
      <c r="I51" s="13">
        <f t="shared" si="2"/>
        <v>0</v>
      </c>
      <c r="J51" s="14">
        <v>710</v>
      </c>
      <c r="K51" s="13">
        <f t="shared" si="3"/>
        <v>0</v>
      </c>
      <c r="L51" s="11">
        <f>G51-'3'!D51</f>
        <v>0</v>
      </c>
      <c r="M51" s="13">
        <f t="shared" si="4"/>
        <v>0</v>
      </c>
    </row>
    <row r="52" spans="1:13">
      <c r="A52" s="7" t="s">
        <v>43</v>
      </c>
      <c r="B52" s="7" t="s">
        <v>20</v>
      </c>
      <c r="C52" s="9">
        <v>50</v>
      </c>
      <c r="D52" s="10"/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f>G52-'3'!D52</f>
        <v>0</v>
      </c>
      <c r="M52" s="13">
        <f t="shared" si="4"/>
        <v>0</v>
      </c>
    </row>
    <row r="53" spans="1:13">
      <c r="A53" s="7" t="s">
        <v>43</v>
      </c>
      <c r="B53" s="7" t="s">
        <v>21</v>
      </c>
      <c r="C53" s="9">
        <v>50</v>
      </c>
      <c r="D53" s="10"/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f>G53-'3'!D53</f>
        <v>0</v>
      </c>
      <c r="M53" s="13">
        <f t="shared" si="4"/>
        <v>0</v>
      </c>
    </row>
    <row r="54" spans="1:13">
      <c r="A54" s="7" t="s">
        <v>43</v>
      </c>
      <c r="B54" s="7" t="s">
        <v>44</v>
      </c>
      <c r="C54" s="9">
        <v>85</v>
      </c>
      <c r="D54" s="10">
        <v>6</v>
      </c>
      <c r="E54" s="10"/>
      <c r="F54" s="9">
        <f t="shared" si="0"/>
        <v>0</v>
      </c>
      <c r="G54" s="11">
        <f t="shared" si="1"/>
        <v>6</v>
      </c>
      <c r="H54" s="12">
        <v>797.07</v>
      </c>
      <c r="I54" s="13">
        <f t="shared" si="2"/>
        <v>4782.42</v>
      </c>
      <c r="J54" s="14">
        <v>845</v>
      </c>
      <c r="K54" s="13">
        <f t="shared" si="3"/>
        <v>5070</v>
      </c>
      <c r="L54" s="11">
        <f>G54-'3'!D54</f>
        <v>0</v>
      </c>
      <c r="M54" s="13">
        <f t="shared" si="4"/>
        <v>0</v>
      </c>
    </row>
    <row r="55" spans="1:13">
      <c r="A55" s="7" t="s">
        <v>45</v>
      </c>
      <c r="B55" s="7" t="s">
        <v>35</v>
      </c>
      <c r="C55" s="9">
        <v>18</v>
      </c>
      <c r="D55" s="10">
        <v>238</v>
      </c>
      <c r="E55" s="10">
        <f>756+240</f>
        <v>996</v>
      </c>
      <c r="F55" s="9">
        <f t="shared" si="0"/>
        <v>160126.92000000001</v>
      </c>
      <c r="G55" s="11">
        <f t="shared" si="1"/>
        <v>1234</v>
      </c>
      <c r="H55" s="12">
        <v>160.77000000000001</v>
      </c>
      <c r="I55" s="13">
        <f t="shared" si="2"/>
        <v>38263.26</v>
      </c>
      <c r="J55" s="14">
        <v>175</v>
      </c>
      <c r="K55" s="13">
        <f t="shared" si="3"/>
        <v>41650</v>
      </c>
      <c r="L55" s="11">
        <f>G55-'3'!D55</f>
        <v>69</v>
      </c>
      <c r="M55" s="13">
        <f t="shared" si="4"/>
        <v>12075</v>
      </c>
    </row>
    <row r="56" spans="1:13">
      <c r="A56" s="7" t="s">
        <v>46</v>
      </c>
      <c r="B56" s="7" t="s">
        <v>13</v>
      </c>
      <c r="C56" s="9">
        <v>70</v>
      </c>
      <c r="D56" s="10">
        <v>22</v>
      </c>
      <c r="E56" s="10"/>
      <c r="F56" s="9">
        <f t="shared" si="0"/>
        <v>0</v>
      </c>
      <c r="G56" s="11">
        <f t="shared" si="1"/>
        <v>22</v>
      </c>
      <c r="H56" s="12">
        <v>744.99</v>
      </c>
      <c r="I56" s="13">
        <f t="shared" si="2"/>
        <v>16389.78</v>
      </c>
      <c r="J56" s="14">
        <v>790</v>
      </c>
      <c r="K56" s="13">
        <f t="shared" si="3"/>
        <v>17380</v>
      </c>
      <c r="L56" s="11">
        <f>G56-'3'!D56</f>
        <v>1</v>
      </c>
      <c r="M56" s="13">
        <f t="shared" si="4"/>
        <v>790</v>
      </c>
    </row>
    <row r="57" spans="1:13">
      <c r="A57" s="7" t="s">
        <v>47</v>
      </c>
      <c r="B57" s="7" t="s">
        <v>29</v>
      </c>
      <c r="C57" s="9">
        <v>30</v>
      </c>
      <c r="D57" s="10"/>
      <c r="E57" s="10"/>
      <c r="F57" s="9">
        <f t="shared" si="0"/>
        <v>0</v>
      </c>
      <c r="G57" s="11">
        <f t="shared" si="1"/>
        <v>0</v>
      </c>
      <c r="H57" s="12">
        <v>316.14999999999998</v>
      </c>
      <c r="I57" s="13">
        <f t="shared" si="2"/>
        <v>0</v>
      </c>
      <c r="J57" s="14">
        <v>336</v>
      </c>
      <c r="K57" s="13">
        <f t="shared" si="3"/>
        <v>0</v>
      </c>
      <c r="L57" s="11">
        <f>G57-'3'!D57</f>
        <v>0</v>
      </c>
      <c r="M57" s="13">
        <f t="shared" si="4"/>
        <v>0</v>
      </c>
    </row>
    <row r="58" spans="1:13">
      <c r="A58" s="7" t="s">
        <v>48</v>
      </c>
      <c r="B58" s="7" t="s">
        <v>13</v>
      </c>
      <c r="C58" s="9">
        <v>95</v>
      </c>
      <c r="D58" s="10">
        <v>21</v>
      </c>
      <c r="E58" s="10"/>
      <c r="F58" s="9">
        <f t="shared" si="0"/>
        <v>0</v>
      </c>
      <c r="G58" s="11">
        <f t="shared" si="1"/>
        <v>21</v>
      </c>
      <c r="H58" s="12">
        <v>1042.9000000000001</v>
      </c>
      <c r="I58" s="13">
        <f t="shared" si="2"/>
        <v>21900.9</v>
      </c>
      <c r="J58" s="14">
        <v>1105</v>
      </c>
      <c r="K58" s="13">
        <f t="shared" si="3"/>
        <v>23205</v>
      </c>
      <c r="L58" s="11">
        <f>G58-'3'!D58</f>
        <v>5</v>
      </c>
      <c r="M58" s="13">
        <f t="shared" si="4"/>
        <v>5525</v>
      </c>
    </row>
    <row r="59" spans="1:13">
      <c r="A59" s="7" t="s">
        <v>49</v>
      </c>
      <c r="B59" s="7" t="s">
        <v>35</v>
      </c>
      <c r="C59" s="9">
        <v>28</v>
      </c>
      <c r="D59" s="10">
        <v>1</v>
      </c>
      <c r="E59" s="10">
        <v>48</v>
      </c>
      <c r="F59" s="9">
        <f t="shared" si="0"/>
        <v>7922.88</v>
      </c>
      <c r="G59" s="11">
        <f t="shared" si="1"/>
        <v>49</v>
      </c>
      <c r="H59" s="12">
        <v>165.06</v>
      </c>
      <c r="I59" s="13">
        <f t="shared" si="2"/>
        <v>165.06</v>
      </c>
      <c r="J59" s="14">
        <v>180</v>
      </c>
      <c r="K59" s="13">
        <f t="shared" si="3"/>
        <v>180</v>
      </c>
      <c r="L59" s="11">
        <f>G59-'3'!D59</f>
        <v>2</v>
      </c>
      <c r="M59" s="13">
        <f t="shared" si="4"/>
        <v>360</v>
      </c>
    </row>
    <row r="60" spans="1:13">
      <c r="A60" s="7" t="s">
        <v>50</v>
      </c>
      <c r="B60" s="7" t="s">
        <v>17</v>
      </c>
      <c r="C60" s="9">
        <v>70</v>
      </c>
      <c r="D60" s="10"/>
      <c r="E60" s="10"/>
      <c r="F60" s="9">
        <f t="shared" si="0"/>
        <v>0</v>
      </c>
      <c r="G60" s="11">
        <f t="shared" si="1"/>
        <v>0</v>
      </c>
      <c r="H60" s="12">
        <v>721.25</v>
      </c>
      <c r="I60" s="13">
        <f t="shared" si="2"/>
        <v>0</v>
      </c>
      <c r="J60" s="14">
        <v>771</v>
      </c>
      <c r="K60" s="13">
        <f t="shared" si="3"/>
        <v>0</v>
      </c>
      <c r="L60" s="11">
        <f>G60-'3'!D60</f>
        <v>0</v>
      </c>
      <c r="M60" s="13">
        <f t="shared" si="4"/>
        <v>0</v>
      </c>
    </row>
    <row r="61" spans="1:13">
      <c r="A61" s="7" t="s">
        <v>50</v>
      </c>
      <c r="B61" s="7" t="s">
        <v>18</v>
      </c>
      <c r="C61" s="9">
        <v>70</v>
      </c>
      <c r="D61" s="10"/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f>G61-'3'!D61</f>
        <v>0</v>
      </c>
      <c r="M61" s="13">
        <f t="shared" si="4"/>
        <v>0</v>
      </c>
    </row>
    <row r="62" spans="1:13">
      <c r="A62" s="7" t="s">
        <v>51</v>
      </c>
      <c r="B62" s="7" t="s">
        <v>17</v>
      </c>
      <c r="C62" s="9">
        <v>100</v>
      </c>
      <c r="D62" s="10"/>
      <c r="E62" s="10">
        <v>280</v>
      </c>
      <c r="F62" s="9">
        <f t="shared" si="0"/>
        <v>221449.19999999998</v>
      </c>
      <c r="G62" s="11">
        <f t="shared" si="1"/>
        <v>280</v>
      </c>
      <c r="H62" s="12">
        <v>790.89</v>
      </c>
      <c r="I62" s="13">
        <f t="shared" si="2"/>
        <v>0</v>
      </c>
      <c r="J62" s="14">
        <v>845</v>
      </c>
      <c r="K62" s="13">
        <f t="shared" si="3"/>
        <v>0</v>
      </c>
      <c r="L62" s="11">
        <f>G62-'3'!D62</f>
        <v>34</v>
      </c>
      <c r="M62" s="13">
        <f t="shared" si="4"/>
        <v>28730</v>
      </c>
    </row>
    <row r="63" spans="1:13">
      <c r="A63" s="7" t="s">
        <v>51</v>
      </c>
      <c r="B63" s="7" t="s">
        <v>18</v>
      </c>
      <c r="C63" s="9">
        <v>100</v>
      </c>
      <c r="D63" s="10"/>
      <c r="E63" s="10">
        <v>224</v>
      </c>
      <c r="F63" s="9">
        <f t="shared" si="0"/>
        <v>177159.36</v>
      </c>
      <c r="G63" s="11">
        <f t="shared" si="1"/>
        <v>224</v>
      </c>
      <c r="H63" s="12">
        <v>790.89</v>
      </c>
      <c r="I63" s="13">
        <f t="shared" si="2"/>
        <v>0</v>
      </c>
      <c r="J63" s="14">
        <v>845</v>
      </c>
      <c r="K63" s="13">
        <f t="shared" si="3"/>
        <v>0</v>
      </c>
      <c r="L63" s="11">
        <f>G63-'3'!D63</f>
        <v>22</v>
      </c>
      <c r="M63" s="13">
        <f t="shared" si="4"/>
        <v>18590</v>
      </c>
    </row>
    <row r="64" spans="1:13">
      <c r="A64" s="7" t="s">
        <v>51</v>
      </c>
      <c r="B64" s="7" t="s">
        <v>19</v>
      </c>
      <c r="C64" s="9">
        <v>100</v>
      </c>
      <c r="D64" s="10"/>
      <c r="E64" s="10"/>
      <c r="F64" s="9">
        <f t="shared" si="0"/>
        <v>0</v>
      </c>
      <c r="G64" s="11">
        <f t="shared" si="1"/>
        <v>0</v>
      </c>
      <c r="H64" s="12">
        <v>790.89</v>
      </c>
      <c r="I64" s="13">
        <f t="shared" si="2"/>
        <v>0</v>
      </c>
      <c r="J64" s="14">
        <v>845</v>
      </c>
      <c r="K64" s="13">
        <f t="shared" si="3"/>
        <v>0</v>
      </c>
      <c r="L64" s="11">
        <f>G64-'3'!D64</f>
        <v>0</v>
      </c>
      <c r="M64" s="13">
        <f t="shared" si="4"/>
        <v>0</v>
      </c>
    </row>
    <row r="65" spans="1:13">
      <c r="A65" s="7" t="s">
        <v>51</v>
      </c>
      <c r="B65" s="7" t="s">
        <v>20</v>
      </c>
      <c r="C65" s="9">
        <v>100</v>
      </c>
      <c r="D65" s="10"/>
      <c r="E65" s="11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f>G65-'3'!D65</f>
        <v>0</v>
      </c>
      <c r="M65" s="13">
        <f t="shared" si="4"/>
        <v>0</v>
      </c>
    </row>
    <row r="66" spans="1:13">
      <c r="A66" s="7" t="s">
        <v>51</v>
      </c>
      <c r="B66" s="7" t="s">
        <v>21</v>
      </c>
      <c r="C66" s="9">
        <v>100</v>
      </c>
      <c r="D66" s="10"/>
      <c r="E66" s="11"/>
      <c r="F66" s="15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f>G66-'3'!D66</f>
        <v>0</v>
      </c>
      <c r="M66" s="13">
        <f t="shared" si="4"/>
        <v>0</v>
      </c>
    </row>
    <row r="67" spans="1:13">
      <c r="A67" s="35" t="s">
        <v>52</v>
      </c>
      <c r="B67" s="36"/>
      <c r="C67" s="37"/>
      <c r="D67" s="16">
        <f>SUM(D2:D66)</f>
        <v>2870</v>
      </c>
      <c r="E67" s="17">
        <f>SUM(E2:E66)</f>
        <v>2738</v>
      </c>
      <c r="F67" s="18">
        <f>SUM(F2:F66)</f>
        <v>1101108.0899999999</v>
      </c>
      <c r="G67" s="17">
        <f>SUM(G2:G66)</f>
        <v>5608</v>
      </c>
      <c r="H67" s="19"/>
      <c r="I67" s="20">
        <f>SUM(I2:I66)</f>
        <v>1141423.2999999998</v>
      </c>
      <c r="J67" s="21">
        <f>SUM(J2:J66)</f>
        <v>39088</v>
      </c>
      <c r="K67" s="22">
        <f>SUM(K2:K66)</f>
        <v>1218718</v>
      </c>
      <c r="L67" s="23">
        <f>SUM(L2:L66)</f>
        <v>491</v>
      </c>
      <c r="M67" s="24">
        <f>SUM(M2:M66)</f>
        <v>252436</v>
      </c>
    </row>
    <row r="70" spans="1:13">
      <c r="F70" s="31"/>
    </row>
    <row r="73" spans="1:13">
      <c r="I73" s="33"/>
      <c r="J73" s="32"/>
      <c r="K73" s="33"/>
    </row>
    <row r="74" spans="1:13">
      <c r="I74" s="33"/>
      <c r="J74" s="32"/>
      <c r="K74" s="33"/>
    </row>
    <row r="75" spans="1:13">
      <c r="I75" s="33"/>
      <c r="J75" s="29"/>
      <c r="K75" s="30"/>
    </row>
    <row r="76" spans="1:13">
      <c r="D76" s="25" t="s">
        <v>53</v>
      </c>
      <c r="I76" s="33"/>
      <c r="J76" s="34"/>
      <c r="K76" s="34"/>
    </row>
    <row r="77" spans="1:13">
      <c r="I77" s="33"/>
      <c r="J77" s="32"/>
      <c r="K77" s="33"/>
    </row>
    <row r="78" spans="1:13">
      <c r="F78" s="26"/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</row>
  </sheetData>
  <mergeCells count="1">
    <mergeCell ref="A67:C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0"/>
  <sheetViews>
    <sheetView topLeftCell="A52" workbookViewId="0">
      <selection activeCell="D60" sqref="D60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507</v>
      </c>
      <c r="E2" s="11"/>
      <c r="F2" s="9">
        <f>E2*H2</f>
        <v>0</v>
      </c>
      <c r="G2" s="11">
        <f>D2+E2</f>
        <v>507</v>
      </c>
      <c r="H2" s="12">
        <v>308.13</v>
      </c>
      <c r="I2" s="13">
        <f>H2*D2</f>
        <v>156221.91</v>
      </c>
      <c r="J2" s="14">
        <v>326</v>
      </c>
      <c r="K2" s="13">
        <f>J2*D2</f>
        <v>165282</v>
      </c>
      <c r="L2" s="11">
        <f>G2-'4'!D2</f>
        <v>15</v>
      </c>
      <c r="M2" s="13">
        <f>L2*J2</f>
        <v>4890</v>
      </c>
    </row>
    <row r="3" spans="1:13">
      <c r="A3" s="7" t="s">
        <v>12</v>
      </c>
      <c r="B3" s="8" t="s">
        <v>14</v>
      </c>
      <c r="C3" s="9">
        <v>9</v>
      </c>
      <c r="D3" s="10">
        <v>68</v>
      </c>
      <c r="E3" s="11"/>
      <c r="F3" s="9">
        <f t="shared" ref="F3:F66" si="0">E3*H3</f>
        <v>0</v>
      </c>
      <c r="G3" s="11">
        <f t="shared" ref="G3:G66" si="1">D3+E3</f>
        <v>68</v>
      </c>
      <c r="H3" s="12">
        <v>308.19</v>
      </c>
      <c r="I3" s="13">
        <f t="shared" ref="I3:I66" si="2">H3*D3</f>
        <v>20956.919999999998</v>
      </c>
      <c r="J3" s="14">
        <v>326</v>
      </c>
      <c r="K3" s="13">
        <f t="shared" ref="K3:K66" si="3">J3*D3</f>
        <v>22168</v>
      </c>
      <c r="L3" s="11">
        <f>G3-'4'!D3</f>
        <v>1</v>
      </c>
      <c r="M3" s="13">
        <f t="shared" ref="M3:M66" si="4">L3*J3</f>
        <v>326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f>G4-'4'!D4</f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224</v>
      </c>
      <c r="E5" s="11"/>
      <c r="F5" s="9">
        <f t="shared" si="0"/>
        <v>0</v>
      </c>
      <c r="G5" s="11">
        <f t="shared" si="1"/>
        <v>224</v>
      </c>
      <c r="H5" s="12">
        <v>174.77</v>
      </c>
      <c r="I5" s="13">
        <f t="shared" si="2"/>
        <v>39148.480000000003</v>
      </c>
      <c r="J5" s="14">
        <v>192</v>
      </c>
      <c r="K5" s="13">
        <f t="shared" si="3"/>
        <v>43008</v>
      </c>
      <c r="L5" s="11">
        <f>G5-'4'!D5</f>
        <v>18</v>
      </c>
      <c r="M5" s="13">
        <f t="shared" si="4"/>
        <v>3456</v>
      </c>
    </row>
    <row r="6" spans="1:13">
      <c r="A6" s="7" t="s">
        <v>16</v>
      </c>
      <c r="B6" s="8" t="s">
        <v>18</v>
      </c>
      <c r="C6" s="9">
        <v>10</v>
      </c>
      <c r="D6" s="10">
        <v>217</v>
      </c>
      <c r="E6" s="11"/>
      <c r="F6" s="9">
        <f t="shared" si="0"/>
        <v>0</v>
      </c>
      <c r="G6" s="11">
        <f t="shared" si="1"/>
        <v>217</v>
      </c>
      <c r="H6" s="12">
        <v>174.77</v>
      </c>
      <c r="I6" s="13">
        <f t="shared" si="2"/>
        <v>37925.090000000004</v>
      </c>
      <c r="J6" s="14">
        <v>192</v>
      </c>
      <c r="K6" s="13">
        <f t="shared" si="3"/>
        <v>41664</v>
      </c>
      <c r="L6" s="11">
        <f>G6-'4'!D6</f>
        <v>11</v>
      </c>
      <c r="M6" s="13">
        <f t="shared" si="4"/>
        <v>2112</v>
      </c>
    </row>
    <row r="7" spans="1:13">
      <c r="A7" s="7" t="s">
        <v>16</v>
      </c>
      <c r="B7" s="8" t="s">
        <v>19</v>
      </c>
      <c r="C7" s="9">
        <v>10</v>
      </c>
      <c r="D7" s="10">
        <v>60</v>
      </c>
      <c r="E7" s="11"/>
      <c r="F7" s="9">
        <f t="shared" si="0"/>
        <v>0</v>
      </c>
      <c r="G7" s="11">
        <f t="shared" si="1"/>
        <v>60</v>
      </c>
      <c r="H7" s="12">
        <v>174.77</v>
      </c>
      <c r="I7" s="13">
        <f t="shared" si="2"/>
        <v>10486.2</v>
      </c>
      <c r="J7" s="14">
        <v>192</v>
      </c>
      <c r="K7" s="13">
        <f t="shared" si="3"/>
        <v>11520</v>
      </c>
      <c r="L7" s="11">
        <f>G7-'4'!D7</f>
        <v>3</v>
      </c>
      <c r="M7" s="13">
        <f t="shared" si="4"/>
        <v>576</v>
      </c>
    </row>
    <row r="8" spans="1:13">
      <c r="A8" s="7" t="s">
        <v>16</v>
      </c>
      <c r="B8" s="8" t="s">
        <v>20</v>
      </c>
      <c r="C8" s="9">
        <v>10</v>
      </c>
      <c r="D8" s="10">
        <v>99</v>
      </c>
      <c r="E8" s="11"/>
      <c r="F8" s="9">
        <f t="shared" si="0"/>
        <v>0</v>
      </c>
      <c r="G8" s="11">
        <f t="shared" si="1"/>
        <v>99</v>
      </c>
      <c r="H8" s="12">
        <v>174.77</v>
      </c>
      <c r="I8" s="13">
        <f t="shared" si="2"/>
        <v>17302.23</v>
      </c>
      <c r="J8" s="14">
        <v>192</v>
      </c>
      <c r="K8" s="13">
        <f t="shared" si="3"/>
        <v>19008</v>
      </c>
      <c r="L8" s="11">
        <f>G8-'4'!D8</f>
        <v>6</v>
      </c>
      <c r="M8" s="13">
        <f t="shared" si="4"/>
        <v>1152</v>
      </c>
    </row>
    <row r="9" spans="1:13">
      <c r="A9" s="7" t="s">
        <v>16</v>
      </c>
      <c r="B9" s="8" t="s">
        <v>21</v>
      </c>
      <c r="C9" s="9">
        <v>10</v>
      </c>
      <c r="D9" s="10">
        <v>212</v>
      </c>
      <c r="E9" s="11"/>
      <c r="F9" s="9">
        <f t="shared" si="0"/>
        <v>0</v>
      </c>
      <c r="G9" s="11">
        <f t="shared" si="1"/>
        <v>212</v>
      </c>
      <c r="H9" s="12">
        <v>174.77</v>
      </c>
      <c r="I9" s="13">
        <f t="shared" si="2"/>
        <v>37051.240000000005</v>
      </c>
      <c r="J9" s="14">
        <v>192</v>
      </c>
      <c r="K9" s="13">
        <f t="shared" si="3"/>
        <v>40704</v>
      </c>
      <c r="L9" s="11">
        <f>G9-'4'!D9</f>
        <v>12</v>
      </c>
      <c r="M9" s="13">
        <f t="shared" si="4"/>
        <v>2304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f>G10-'4'!D10</f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41</v>
      </c>
      <c r="E11" s="11"/>
      <c r="F11" s="9">
        <f t="shared" si="0"/>
        <v>0</v>
      </c>
      <c r="G11" s="11">
        <f t="shared" si="1"/>
        <v>41</v>
      </c>
      <c r="H11" s="12">
        <v>470.8</v>
      </c>
      <c r="I11" s="13">
        <f t="shared" si="2"/>
        <v>19302.8</v>
      </c>
      <c r="J11" s="14">
        <v>505</v>
      </c>
      <c r="K11" s="13">
        <f t="shared" si="3"/>
        <v>20705</v>
      </c>
      <c r="L11" s="11">
        <f>G11-'4'!D11</f>
        <v>2</v>
      </c>
      <c r="M11" s="13">
        <f t="shared" si="4"/>
        <v>1010</v>
      </c>
    </row>
    <row r="12" spans="1:13">
      <c r="A12" s="7" t="s">
        <v>22</v>
      </c>
      <c r="B12" s="8" t="s">
        <v>17</v>
      </c>
      <c r="C12" s="9">
        <v>20</v>
      </c>
      <c r="D12" s="10">
        <v>553</v>
      </c>
      <c r="E12" s="11"/>
      <c r="F12" s="9">
        <f>E12*H12</f>
        <v>0</v>
      </c>
      <c r="G12" s="11">
        <f t="shared" si="1"/>
        <v>553</v>
      </c>
      <c r="H12" s="12">
        <v>475.77</v>
      </c>
      <c r="I12" s="13">
        <f t="shared" si="2"/>
        <v>263100.81</v>
      </c>
      <c r="J12" s="14">
        <v>505</v>
      </c>
      <c r="K12" s="13">
        <f t="shared" si="3"/>
        <v>279265</v>
      </c>
      <c r="L12" s="11">
        <f>G12-'4'!D12</f>
        <v>69</v>
      </c>
      <c r="M12" s="13">
        <f t="shared" si="4"/>
        <v>34845</v>
      </c>
    </row>
    <row r="13" spans="1:13">
      <c r="A13" s="7" t="s">
        <v>22</v>
      </c>
      <c r="B13" s="8" t="s">
        <v>18</v>
      </c>
      <c r="C13" s="9">
        <v>20</v>
      </c>
      <c r="D13" s="10">
        <v>351</v>
      </c>
      <c r="E13" s="11"/>
      <c r="F13" s="9">
        <f t="shared" si="0"/>
        <v>0</v>
      </c>
      <c r="G13" s="11">
        <f t="shared" si="1"/>
        <v>351</v>
      </c>
      <c r="H13" s="12">
        <v>475.77</v>
      </c>
      <c r="I13" s="13">
        <f t="shared" si="2"/>
        <v>166995.26999999999</v>
      </c>
      <c r="J13" s="14">
        <v>505</v>
      </c>
      <c r="K13" s="13">
        <f t="shared" si="3"/>
        <v>177255</v>
      </c>
      <c r="L13" s="11">
        <f>G13-'4'!D13</f>
        <v>34</v>
      </c>
      <c r="M13" s="13">
        <f t="shared" si="4"/>
        <v>17170</v>
      </c>
    </row>
    <row r="14" spans="1:13">
      <c r="A14" s="7" t="s">
        <v>22</v>
      </c>
      <c r="B14" s="8" t="s">
        <v>19</v>
      </c>
      <c r="C14" s="9">
        <v>20</v>
      </c>
      <c r="D14" s="10">
        <v>63</v>
      </c>
      <c r="E14" s="11"/>
      <c r="F14" s="9">
        <f t="shared" si="0"/>
        <v>0</v>
      </c>
      <c r="G14" s="11">
        <f t="shared" si="1"/>
        <v>63</v>
      </c>
      <c r="H14" s="12">
        <v>470.8</v>
      </c>
      <c r="I14" s="13">
        <f t="shared" si="2"/>
        <v>29660.400000000001</v>
      </c>
      <c r="J14" s="14">
        <v>505</v>
      </c>
      <c r="K14" s="13">
        <f t="shared" si="3"/>
        <v>31815</v>
      </c>
      <c r="L14" s="11">
        <f>G14-'4'!D14</f>
        <v>9</v>
      </c>
      <c r="M14" s="13">
        <f t="shared" si="4"/>
        <v>4545</v>
      </c>
    </row>
    <row r="15" spans="1:13">
      <c r="A15" s="7" t="s">
        <v>22</v>
      </c>
      <c r="B15" s="8" t="s">
        <v>20</v>
      </c>
      <c r="C15" s="9">
        <v>20</v>
      </c>
      <c r="D15" s="10">
        <v>58</v>
      </c>
      <c r="E15" s="11"/>
      <c r="F15" s="9">
        <f t="shared" si="0"/>
        <v>0</v>
      </c>
      <c r="G15" s="11">
        <f t="shared" si="1"/>
        <v>58</v>
      </c>
      <c r="H15" s="12">
        <v>470.8</v>
      </c>
      <c r="I15" s="13">
        <f t="shared" si="2"/>
        <v>27306.400000000001</v>
      </c>
      <c r="J15" s="14">
        <v>505</v>
      </c>
      <c r="K15" s="13">
        <f t="shared" si="3"/>
        <v>29290</v>
      </c>
      <c r="L15" s="11">
        <f>G15-'4'!D15</f>
        <v>9</v>
      </c>
      <c r="M15" s="13">
        <f t="shared" si="4"/>
        <v>4545</v>
      </c>
    </row>
    <row r="16" spans="1:13">
      <c r="A16" s="7" t="s">
        <v>22</v>
      </c>
      <c r="B16" s="8" t="s">
        <v>21</v>
      </c>
      <c r="C16" s="9">
        <v>20</v>
      </c>
      <c r="D16" s="10"/>
      <c r="E16" s="11"/>
      <c r="F16" s="9">
        <f t="shared" si="0"/>
        <v>0</v>
      </c>
      <c r="G16" s="11">
        <f t="shared" si="1"/>
        <v>0</v>
      </c>
      <c r="H16" s="12">
        <v>470.8</v>
      </c>
      <c r="I16" s="13">
        <f t="shared" si="2"/>
        <v>0</v>
      </c>
      <c r="J16" s="14">
        <v>505</v>
      </c>
      <c r="K16" s="13">
        <f t="shared" si="3"/>
        <v>0</v>
      </c>
      <c r="L16" s="11">
        <f>G16-'4'!D16</f>
        <v>0</v>
      </c>
      <c r="M16" s="13">
        <f t="shared" si="4"/>
        <v>0</v>
      </c>
    </row>
    <row r="17" spans="1:13">
      <c r="A17" s="7" t="s">
        <v>22</v>
      </c>
      <c r="B17" s="8" t="s">
        <v>29</v>
      </c>
      <c r="C17" s="9">
        <v>11</v>
      </c>
      <c r="D17" s="10">
        <v>94</v>
      </c>
      <c r="E17" s="11"/>
      <c r="F17" s="9">
        <f t="shared" si="0"/>
        <v>0</v>
      </c>
      <c r="G17" s="11">
        <f t="shared" si="1"/>
        <v>94</v>
      </c>
      <c r="H17" s="12">
        <v>235.59</v>
      </c>
      <c r="I17" s="13">
        <f t="shared" si="2"/>
        <v>22145.46</v>
      </c>
      <c r="J17" s="14">
        <v>250</v>
      </c>
      <c r="K17" s="13">
        <f t="shared" si="3"/>
        <v>23500</v>
      </c>
      <c r="L17" s="11">
        <f>G17-'4'!D17</f>
        <v>7</v>
      </c>
      <c r="M17" s="13">
        <f t="shared" si="4"/>
        <v>1750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f>G18-'4'!D18</f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/>
      <c r="E19" s="11"/>
      <c r="F19" s="9">
        <f t="shared" si="0"/>
        <v>0</v>
      </c>
      <c r="G19" s="11">
        <f t="shared" si="1"/>
        <v>0</v>
      </c>
      <c r="H19" s="12">
        <v>204</v>
      </c>
      <c r="I19" s="13">
        <f t="shared" si="2"/>
        <v>0</v>
      </c>
      <c r="J19" s="14">
        <v>230</v>
      </c>
      <c r="K19" s="13">
        <f t="shared" si="3"/>
        <v>0</v>
      </c>
      <c r="L19" s="11">
        <f>G19-'4'!D19</f>
        <v>0</v>
      </c>
      <c r="M19" s="13">
        <f t="shared" si="4"/>
        <v>0</v>
      </c>
    </row>
    <row r="20" spans="1:13">
      <c r="A20" s="7" t="s">
        <v>22</v>
      </c>
      <c r="B20" s="8" t="s">
        <v>25</v>
      </c>
      <c r="C20" s="9">
        <v>10</v>
      </c>
      <c r="D20" s="10"/>
      <c r="E20" s="11"/>
      <c r="F20" s="9">
        <f t="shared" si="0"/>
        <v>0</v>
      </c>
      <c r="G20" s="11">
        <f t="shared" si="1"/>
        <v>0</v>
      </c>
      <c r="H20" s="12">
        <v>204</v>
      </c>
      <c r="I20" s="13">
        <f>H20*D20</f>
        <v>0</v>
      </c>
      <c r="J20" s="14">
        <v>230</v>
      </c>
      <c r="K20" s="13">
        <f t="shared" si="3"/>
        <v>0</v>
      </c>
      <c r="L20" s="11">
        <f>G20-'4'!D20</f>
        <v>0</v>
      </c>
      <c r="M20" s="13">
        <f t="shared" si="4"/>
        <v>0</v>
      </c>
    </row>
    <row r="21" spans="1:13">
      <c r="A21" s="7" t="s">
        <v>22</v>
      </c>
      <c r="B21" s="8" t="s">
        <v>26</v>
      </c>
      <c r="C21" s="9">
        <v>10</v>
      </c>
      <c r="D21" s="10">
        <v>30</v>
      </c>
      <c r="E21" s="11"/>
      <c r="F21" s="9">
        <f t="shared" si="0"/>
        <v>0</v>
      </c>
      <c r="G21" s="11">
        <f t="shared" si="1"/>
        <v>30</v>
      </c>
      <c r="H21" s="12">
        <v>204</v>
      </c>
      <c r="I21" s="13">
        <f t="shared" si="2"/>
        <v>6120</v>
      </c>
      <c r="J21" s="14">
        <v>230</v>
      </c>
      <c r="K21" s="13">
        <f t="shared" si="3"/>
        <v>6900</v>
      </c>
      <c r="L21" s="11">
        <f>G21-'4'!D21</f>
        <v>0</v>
      </c>
      <c r="M21" s="13">
        <f t="shared" si="4"/>
        <v>0</v>
      </c>
    </row>
    <row r="22" spans="1:13">
      <c r="A22" s="7" t="s">
        <v>22</v>
      </c>
      <c r="B22" s="8" t="s">
        <v>13</v>
      </c>
      <c r="C22" s="9">
        <v>19</v>
      </c>
      <c r="D22" s="10">
        <v>99</v>
      </c>
      <c r="E22" s="11"/>
      <c r="F22" s="9">
        <f t="shared" si="0"/>
        <v>0</v>
      </c>
      <c r="G22" s="11">
        <f t="shared" si="1"/>
        <v>99</v>
      </c>
      <c r="H22" s="12">
        <v>474.46</v>
      </c>
      <c r="I22" s="13">
        <f t="shared" si="2"/>
        <v>46971.54</v>
      </c>
      <c r="J22" s="14">
        <v>505</v>
      </c>
      <c r="K22" s="13">
        <f t="shared" si="3"/>
        <v>49995</v>
      </c>
      <c r="L22" s="11">
        <f>G22-'4'!D22</f>
        <v>22</v>
      </c>
      <c r="M22" s="13">
        <f t="shared" si="4"/>
        <v>11110</v>
      </c>
    </row>
    <row r="23" spans="1:13">
      <c r="A23" s="7" t="s">
        <v>22</v>
      </c>
      <c r="B23" s="8" t="s">
        <v>27</v>
      </c>
      <c r="C23" s="9">
        <v>24</v>
      </c>
      <c r="D23" s="10">
        <v>83</v>
      </c>
      <c r="E23" s="11"/>
      <c r="F23" s="9">
        <f t="shared" si="0"/>
        <v>0</v>
      </c>
      <c r="G23" s="11">
        <f t="shared" si="1"/>
        <v>83</v>
      </c>
      <c r="H23" s="12">
        <v>593.91999999999996</v>
      </c>
      <c r="I23" s="13">
        <f t="shared" si="2"/>
        <v>49295.359999999993</v>
      </c>
      <c r="J23" s="14">
        <v>630</v>
      </c>
      <c r="K23" s="13">
        <f t="shared" si="3"/>
        <v>52290</v>
      </c>
      <c r="L23" s="11">
        <f>G23-'4'!D23</f>
        <v>16</v>
      </c>
      <c r="M23" s="13">
        <f t="shared" si="4"/>
        <v>10080</v>
      </c>
    </row>
    <row r="24" spans="1:13">
      <c r="A24" s="7" t="s">
        <v>30</v>
      </c>
      <c r="B24" s="8" t="s">
        <v>17</v>
      </c>
      <c r="C24" s="9">
        <v>25</v>
      </c>
      <c r="D24" s="10">
        <v>63</v>
      </c>
      <c r="E24" s="10"/>
      <c r="F24" s="9">
        <f t="shared" si="0"/>
        <v>0</v>
      </c>
      <c r="G24" s="11">
        <f t="shared" si="1"/>
        <v>63</v>
      </c>
      <c r="H24" s="12">
        <v>453.3</v>
      </c>
      <c r="I24" s="13">
        <f t="shared" si="2"/>
        <v>28557.9</v>
      </c>
      <c r="J24" s="14">
        <v>493</v>
      </c>
      <c r="K24" s="13">
        <f t="shared" si="3"/>
        <v>31059</v>
      </c>
      <c r="L24" s="11">
        <f>G24-'4'!D24</f>
        <v>0</v>
      </c>
      <c r="M24" s="13">
        <f t="shared" si="4"/>
        <v>0</v>
      </c>
    </row>
    <row r="25" spans="1:13">
      <c r="A25" s="7" t="s">
        <v>30</v>
      </c>
      <c r="B25" s="8" t="s">
        <v>18</v>
      </c>
      <c r="C25" s="9">
        <v>25</v>
      </c>
      <c r="D25" s="10">
        <v>54</v>
      </c>
      <c r="E25" s="10"/>
      <c r="F25" s="9">
        <f t="shared" si="0"/>
        <v>0</v>
      </c>
      <c r="G25" s="11">
        <f t="shared" si="1"/>
        <v>54</v>
      </c>
      <c r="H25" s="12">
        <v>453.3</v>
      </c>
      <c r="I25" s="13">
        <f t="shared" si="2"/>
        <v>24478.2</v>
      </c>
      <c r="J25" s="14">
        <v>493</v>
      </c>
      <c r="K25" s="13">
        <f t="shared" si="3"/>
        <v>26622</v>
      </c>
      <c r="L25" s="11">
        <f>G25-'4'!D25</f>
        <v>0</v>
      </c>
      <c r="M25" s="13">
        <f t="shared" si="4"/>
        <v>0</v>
      </c>
    </row>
    <row r="26" spans="1:13">
      <c r="A26" s="7" t="s">
        <v>30</v>
      </c>
      <c r="B26" s="8" t="s">
        <v>20</v>
      </c>
      <c r="C26" s="9">
        <v>25</v>
      </c>
      <c r="D26" s="10"/>
      <c r="E26" s="10"/>
      <c r="F26" s="9">
        <f t="shared" si="0"/>
        <v>0</v>
      </c>
      <c r="G26" s="11">
        <f t="shared" si="1"/>
        <v>0</v>
      </c>
      <c r="H26" s="12">
        <v>453.3</v>
      </c>
      <c r="I26" s="13">
        <f t="shared" si="2"/>
        <v>0</v>
      </c>
      <c r="J26" s="14">
        <v>493</v>
      </c>
      <c r="K26" s="13">
        <f t="shared" si="3"/>
        <v>0</v>
      </c>
      <c r="L26" s="11">
        <f>G26-'4'!D26</f>
        <v>0</v>
      </c>
      <c r="M26" s="13">
        <f t="shared" si="4"/>
        <v>0</v>
      </c>
    </row>
    <row r="27" spans="1:13">
      <c r="A27" s="7" t="s">
        <v>30</v>
      </c>
      <c r="B27" s="8" t="s">
        <v>21</v>
      </c>
      <c r="C27" s="9">
        <v>25</v>
      </c>
      <c r="D27" s="10"/>
      <c r="E27" s="10"/>
      <c r="F27" s="9">
        <f t="shared" si="0"/>
        <v>0</v>
      </c>
      <c r="G27" s="11">
        <f t="shared" si="1"/>
        <v>0</v>
      </c>
      <c r="H27" s="12">
        <v>453.3</v>
      </c>
      <c r="I27" s="13">
        <f t="shared" si="2"/>
        <v>0</v>
      </c>
      <c r="J27" s="14">
        <v>493</v>
      </c>
      <c r="K27" s="13">
        <f t="shared" si="3"/>
        <v>0</v>
      </c>
      <c r="L27" s="11">
        <f>G27-'4'!D27</f>
        <v>0</v>
      </c>
      <c r="M27" s="13">
        <f t="shared" si="4"/>
        <v>0</v>
      </c>
    </row>
    <row r="28" spans="1:13">
      <c r="A28" s="7" t="s">
        <v>31</v>
      </c>
      <c r="B28" s="7" t="s">
        <v>17</v>
      </c>
      <c r="C28" s="9">
        <v>40</v>
      </c>
      <c r="D28" s="10"/>
      <c r="E28" s="10"/>
      <c r="F28" s="9">
        <f t="shared" si="0"/>
        <v>0</v>
      </c>
      <c r="G28" s="11">
        <f t="shared" si="1"/>
        <v>0</v>
      </c>
      <c r="H28" s="12">
        <v>821.36</v>
      </c>
      <c r="I28" s="13">
        <f t="shared" si="2"/>
        <v>0</v>
      </c>
      <c r="J28" s="14">
        <v>878</v>
      </c>
      <c r="K28" s="13">
        <f t="shared" si="3"/>
        <v>0</v>
      </c>
      <c r="L28" s="11">
        <f>G28-'4'!D28</f>
        <v>0</v>
      </c>
      <c r="M28" s="13">
        <f t="shared" si="4"/>
        <v>0</v>
      </c>
    </row>
    <row r="29" spans="1:13">
      <c r="A29" s="7" t="s">
        <v>31</v>
      </c>
      <c r="B29" s="7" t="s">
        <v>18</v>
      </c>
      <c r="C29" s="9">
        <v>40</v>
      </c>
      <c r="D29" s="10"/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f>G29-'4'!D29</f>
        <v>0</v>
      </c>
      <c r="M29" s="13">
        <f t="shared" si="4"/>
        <v>0</v>
      </c>
    </row>
    <row r="30" spans="1:13">
      <c r="A30" s="7" t="s">
        <v>31</v>
      </c>
      <c r="B30" s="7" t="s">
        <v>19</v>
      </c>
      <c r="C30" s="9">
        <v>40</v>
      </c>
      <c r="D30" s="10"/>
      <c r="E30" s="10"/>
      <c r="F30" s="9">
        <f t="shared" si="0"/>
        <v>0</v>
      </c>
      <c r="G30" s="11">
        <f t="shared" si="1"/>
        <v>0</v>
      </c>
      <c r="H30" s="12">
        <v>817.58</v>
      </c>
      <c r="I30" s="13">
        <f t="shared" si="2"/>
        <v>0</v>
      </c>
      <c r="J30" s="14">
        <v>878</v>
      </c>
      <c r="K30" s="13">
        <f t="shared" si="3"/>
        <v>0</v>
      </c>
      <c r="L30" s="11">
        <f>G30-'4'!D30</f>
        <v>0</v>
      </c>
      <c r="M30" s="13">
        <f t="shared" si="4"/>
        <v>0</v>
      </c>
    </row>
    <row r="31" spans="1:13">
      <c r="A31" s="7" t="s">
        <v>31</v>
      </c>
      <c r="B31" s="7" t="s">
        <v>20</v>
      </c>
      <c r="C31" s="9">
        <v>40</v>
      </c>
      <c r="D31" s="10"/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f>G31-'4'!D31</f>
        <v>0</v>
      </c>
      <c r="M31" s="13">
        <f t="shared" si="4"/>
        <v>0</v>
      </c>
    </row>
    <row r="32" spans="1:13">
      <c r="A32" s="7" t="s">
        <v>31</v>
      </c>
      <c r="B32" s="7" t="s">
        <v>21</v>
      </c>
      <c r="C32" s="9">
        <v>40</v>
      </c>
      <c r="D32" s="10"/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f>G32-'4'!D32</f>
        <v>0</v>
      </c>
      <c r="M32" s="13">
        <f t="shared" si="4"/>
        <v>0</v>
      </c>
    </row>
    <row r="33" spans="1:13">
      <c r="A33" s="7" t="s">
        <v>31</v>
      </c>
      <c r="B33" s="7" t="s">
        <v>32</v>
      </c>
      <c r="C33" s="9">
        <v>40</v>
      </c>
      <c r="D33" s="10"/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f>G33-'4'!D33</f>
        <v>0</v>
      </c>
      <c r="M33" s="13">
        <f t="shared" si="4"/>
        <v>0</v>
      </c>
    </row>
    <row r="34" spans="1:13">
      <c r="A34" s="7" t="s">
        <v>31</v>
      </c>
      <c r="B34" s="7" t="s">
        <v>33</v>
      </c>
      <c r="C34" s="9">
        <v>60</v>
      </c>
      <c r="D34" s="10">
        <v>132</v>
      </c>
      <c r="E34" s="10"/>
      <c r="F34" s="9">
        <f t="shared" si="0"/>
        <v>0</v>
      </c>
      <c r="G34" s="11">
        <f t="shared" si="1"/>
        <v>132</v>
      </c>
      <c r="H34" s="12">
        <v>1042.6500000000001</v>
      </c>
      <c r="I34" s="13">
        <f t="shared" si="2"/>
        <v>137629.80000000002</v>
      </c>
      <c r="J34" s="14">
        <v>1110</v>
      </c>
      <c r="K34" s="13">
        <f t="shared" si="3"/>
        <v>146520</v>
      </c>
      <c r="L34" s="11">
        <f>G34-'4'!D34</f>
        <v>86</v>
      </c>
      <c r="M34" s="13">
        <f t="shared" si="4"/>
        <v>95460</v>
      </c>
    </row>
    <row r="35" spans="1:13">
      <c r="A35" s="7" t="s">
        <v>34</v>
      </c>
      <c r="B35" s="7" t="s">
        <v>35</v>
      </c>
      <c r="C35" s="9">
        <v>7</v>
      </c>
      <c r="D35" s="10">
        <v>16</v>
      </c>
      <c r="E35" s="10"/>
      <c r="F35" s="9">
        <f t="shared" si="0"/>
        <v>0</v>
      </c>
      <c r="G35" s="11">
        <f t="shared" si="1"/>
        <v>16</v>
      </c>
      <c r="H35" s="12">
        <v>126.24</v>
      </c>
      <c r="I35" s="13">
        <f t="shared" si="2"/>
        <v>2019.84</v>
      </c>
      <c r="J35" s="14">
        <v>140</v>
      </c>
      <c r="K35" s="13">
        <f t="shared" si="3"/>
        <v>2240</v>
      </c>
      <c r="L35" s="11">
        <f>G35-'4'!D35</f>
        <v>1</v>
      </c>
      <c r="M35" s="13">
        <f t="shared" si="4"/>
        <v>140</v>
      </c>
    </row>
    <row r="36" spans="1:13">
      <c r="A36" s="7" t="s">
        <v>36</v>
      </c>
      <c r="B36" s="7" t="s">
        <v>37</v>
      </c>
      <c r="C36" s="9">
        <v>125</v>
      </c>
      <c r="D36" s="10">
        <v>38</v>
      </c>
      <c r="E36" s="10"/>
      <c r="F36" s="9">
        <f t="shared" si="0"/>
        <v>0</v>
      </c>
      <c r="G36" s="11">
        <f t="shared" si="1"/>
        <v>38</v>
      </c>
      <c r="H36" s="12">
        <v>2050.54</v>
      </c>
      <c r="I36" s="13">
        <f t="shared" si="2"/>
        <v>77920.52</v>
      </c>
      <c r="J36" s="14">
        <v>2175</v>
      </c>
      <c r="K36" s="13">
        <f t="shared" si="3"/>
        <v>82650</v>
      </c>
      <c r="L36" s="11">
        <f>G36-'4'!D36</f>
        <v>17</v>
      </c>
      <c r="M36" s="13">
        <f t="shared" si="4"/>
        <v>36975</v>
      </c>
    </row>
    <row r="37" spans="1:13">
      <c r="A37" s="7" t="s">
        <v>38</v>
      </c>
      <c r="B37" s="7" t="s">
        <v>17</v>
      </c>
      <c r="C37" s="9">
        <v>20</v>
      </c>
      <c r="D37" s="10">
        <v>2</v>
      </c>
      <c r="E37" s="10"/>
      <c r="F37" s="9">
        <f t="shared" si="0"/>
        <v>0</v>
      </c>
      <c r="G37" s="11">
        <f t="shared" si="1"/>
        <v>2</v>
      </c>
      <c r="H37" s="12">
        <v>399.19</v>
      </c>
      <c r="I37" s="13">
        <f t="shared" si="2"/>
        <v>798.38</v>
      </c>
      <c r="J37" s="14">
        <v>420</v>
      </c>
      <c r="K37" s="13">
        <f t="shared" si="3"/>
        <v>840</v>
      </c>
      <c r="L37" s="11">
        <f>G37-'4'!D37</f>
        <v>0</v>
      </c>
      <c r="M37" s="13">
        <f t="shared" si="4"/>
        <v>0</v>
      </c>
    </row>
    <row r="38" spans="1:13">
      <c r="A38" s="7" t="s">
        <v>38</v>
      </c>
      <c r="B38" s="7" t="s">
        <v>18</v>
      </c>
      <c r="C38" s="9">
        <v>20</v>
      </c>
      <c r="D38" s="10"/>
      <c r="E38" s="10"/>
      <c r="F38" s="9">
        <f t="shared" si="0"/>
        <v>0</v>
      </c>
      <c r="G38" s="11">
        <f t="shared" si="1"/>
        <v>0</v>
      </c>
      <c r="H38" s="12">
        <v>399.19</v>
      </c>
      <c r="I38" s="13">
        <f t="shared" si="2"/>
        <v>0</v>
      </c>
      <c r="J38" s="14">
        <v>420</v>
      </c>
      <c r="K38" s="13">
        <f t="shared" si="3"/>
        <v>0</v>
      </c>
      <c r="L38" s="11">
        <f>G38-'4'!D38</f>
        <v>0</v>
      </c>
      <c r="M38" s="13">
        <f t="shared" si="4"/>
        <v>0</v>
      </c>
    </row>
    <row r="39" spans="1:13">
      <c r="A39" s="7" t="s">
        <v>38</v>
      </c>
      <c r="B39" s="7" t="s">
        <v>21</v>
      </c>
      <c r="C39" s="9">
        <v>20</v>
      </c>
      <c r="D39" s="10"/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f>G39-'4'!D39</f>
        <v>0</v>
      </c>
      <c r="M39" s="13">
        <f t="shared" si="4"/>
        <v>0</v>
      </c>
    </row>
    <row r="40" spans="1:13">
      <c r="A40" s="7" t="s">
        <v>39</v>
      </c>
      <c r="B40" s="7" t="s">
        <v>35</v>
      </c>
      <c r="C40" s="9">
        <v>9</v>
      </c>
      <c r="D40" s="10">
        <v>73</v>
      </c>
      <c r="E40" s="10"/>
      <c r="F40" s="9">
        <f t="shared" si="0"/>
        <v>0</v>
      </c>
      <c r="G40" s="11">
        <f t="shared" si="1"/>
        <v>73</v>
      </c>
      <c r="H40" s="12">
        <v>174.19</v>
      </c>
      <c r="I40" s="13">
        <f t="shared" si="2"/>
        <v>12715.869999999999</v>
      </c>
      <c r="J40" s="14">
        <v>185</v>
      </c>
      <c r="K40" s="13">
        <f t="shared" si="3"/>
        <v>13505</v>
      </c>
      <c r="L40" s="11">
        <f>G40-'4'!D40</f>
        <v>0</v>
      </c>
      <c r="M40" s="13">
        <f t="shared" si="4"/>
        <v>0</v>
      </c>
    </row>
    <row r="41" spans="1:13">
      <c r="A41" s="7" t="s">
        <v>40</v>
      </c>
      <c r="B41" s="7" t="s">
        <v>13</v>
      </c>
      <c r="C41" s="9">
        <v>35</v>
      </c>
      <c r="D41" s="10">
        <v>33</v>
      </c>
      <c r="E41" s="10"/>
      <c r="F41" s="9">
        <f t="shared" si="0"/>
        <v>0</v>
      </c>
      <c r="G41" s="11">
        <f t="shared" si="1"/>
        <v>33</v>
      </c>
      <c r="H41" s="12">
        <v>748.13</v>
      </c>
      <c r="I41" s="13">
        <f t="shared" si="2"/>
        <v>24688.29</v>
      </c>
      <c r="J41" s="14">
        <v>795</v>
      </c>
      <c r="K41" s="13">
        <f t="shared" si="3"/>
        <v>26235</v>
      </c>
      <c r="L41" s="11">
        <f>G41-'4'!D41</f>
        <v>2</v>
      </c>
      <c r="M41" s="13">
        <f t="shared" si="4"/>
        <v>1590</v>
      </c>
    </row>
    <row r="42" spans="1:13">
      <c r="A42" s="7" t="s">
        <v>41</v>
      </c>
      <c r="B42" s="7" t="s">
        <v>17</v>
      </c>
      <c r="C42" s="9">
        <v>40</v>
      </c>
      <c r="D42" s="10">
        <v>31</v>
      </c>
      <c r="E42" s="10"/>
      <c r="F42" s="9">
        <f t="shared" si="0"/>
        <v>0</v>
      </c>
      <c r="G42" s="11">
        <f t="shared" si="1"/>
        <v>31</v>
      </c>
      <c r="H42" s="12">
        <v>842.86</v>
      </c>
      <c r="I42" s="13">
        <f t="shared" si="2"/>
        <v>26128.66</v>
      </c>
      <c r="J42" s="14">
        <v>900</v>
      </c>
      <c r="K42" s="13">
        <f t="shared" si="3"/>
        <v>27900</v>
      </c>
      <c r="L42" s="11">
        <f>G42-'4'!D42</f>
        <v>4</v>
      </c>
      <c r="M42" s="13">
        <f t="shared" si="4"/>
        <v>3600</v>
      </c>
    </row>
    <row r="43" spans="1:13">
      <c r="A43" s="7" t="s">
        <v>41</v>
      </c>
      <c r="B43" s="7" t="s">
        <v>18</v>
      </c>
      <c r="C43" s="9">
        <v>40</v>
      </c>
      <c r="D43" s="10">
        <v>37</v>
      </c>
      <c r="E43" s="10"/>
      <c r="F43" s="9">
        <f t="shared" si="0"/>
        <v>0</v>
      </c>
      <c r="G43" s="11">
        <f t="shared" si="1"/>
        <v>37</v>
      </c>
      <c r="H43" s="12">
        <v>842.86</v>
      </c>
      <c r="I43" s="13">
        <f t="shared" si="2"/>
        <v>31185.82</v>
      </c>
      <c r="J43" s="14">
        <v>900</v>
      </c>
      <c r="K43" s="13">
        <f t="shared" si="3"/>
        <v>33300</v>
      </c>
      <c r="L43" s="11">
        <f>G43-'4'!D43</f>
        <v>4</v>
      </c>
      <c r="M43" s="13">
        <f t="shared" si="4"/>
        <v>3600</v>
      </c>
    </row>
    <row r="44" spans="1:13">
      <c r="A44" s="7" t="s">
        <v>41</v>
      </c>
      <c r="B44" s="7" t="s">
        <v>19</v>
      </c>
      <c r="C44" s="9">
        <v>40</v>
      </c>
      <c r="D44" s="10"/>
      <c r="E44" s="10"/>
      <c r="F44" s="9">
        <f t="shared" si="0"/>
        <v>0</v>
      </c>
      <c r="G44" s="11">
        <f t="shared" si="1"/>
        <v>0</v>
      </c>
      <c r="H44" s="12">
        <v>839.68</v>
      </c>
      <c r="I44" s="13">
        <f t="shared" si="2"/>
        <v>0</v>
      </c>
      <c r="J44" s="14">
        <v>900</v>
      </c>
      <c r="K44" s="13">
        <f t="shared" si="3"/>
        <v>0</v>
      </c>
      <c r="L44" s="11">
        <f>G44-'4'!D44</f>
        <v>0</v>
      </c>
      <c r="M44" s="13">
        <f t="shared" si="4"/>
        <v>0</v>
      </c>
    </row>
    <row r="45" spans="1:13">
      <c r="A45" s="7" t="s">
        <v>41</v>
      </c>
      <c r="B45" s="7" t="s">
        <v>20</v>
      </c>
      <c r="C45" s="9">
        <v>40</v>
      </c>
      <c r="D45" s="10"/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f>G45-'4'!D45</f>
        <v>0</v>
      </c>
      <c r="M45" s="13">
        <f t="shared" si="4"/>
        <v>0</v>
      </c>
    </row>
    <row r="46" spans="1:13">
      <c r="A46" s="7" t="s">
        <v>41</v>
      </c>
      <c r="B46" s="7" t="s">
        <v>21</v>
      </c>
      <c r="C46" s="9">
        <v>40</v>
      </c>
      <c r="D46" s="10"/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f>G46-'4'!D46</f>
        <v>0</v>
      </c>
      <c r="M46" s="13">
        <f t="shared" si="4"/>
        <v>0</v>
      </c>
    </row>
    <row r="47" spans="1:13">
      <c r="A47" s="7" t="s">
        <v>42</v>
      </c>
      <c r="B47" s="7" t="s">
        <v>29</v>
      </c>
      <c r="C47" s="9">
        <v>18</v>
      </c>
      <c r="D47" s="10">
        <v>48</v>
      </c>
      <c r="E47" s="10"/>
      <c r="F47" s="9">
        <f t="shared" si="0"/>
        <v>0</v>
      </c>
      <c r="G47" s="11">
        <f t="shared" si="1"/>
        <v>48</v>
      </c>
      <c r="H47" s="12">
        <v>375.68</v>
      </c>
      <c r="I47" s="13">
        <f t="shared" si="2"/>
        <v>18032.64</v>
      </c>
      <c r="J47" s="14">
        <v>400</v>
      </c>
      <c r="K47" s="13">
        <f t="shared" si="3"/>
        <v>19200</v>
      </c>
      <c r="L47" s="11">
        <f>G47-'4'!D47</f>
        <v>4</v>
      </c>
      <c r="M47" s="13">
        <f t="shared" si="4"/>
        <v>1600</v>
      </c>
    </row>
    <row r="48" spans="1:13">
      <c r="A48" s="7" t="s">
        <v>54</v>
      </c>
      <c r="B48" s="7" t="s">
        <v>44</v>
      </c>
      <c r="C48" s="9">
        <v>50</v>
      </c>
      <c r="D48" s="11">
        <v>73</v>
      </c>
      <c r="E48" s="11"/>
      <c r="F48" s="9">
        <f t="shared" si="0"/>
        <v>0</v>
      </c>
      <c r="G48" s="11">
        <f t="shared" si="1"/>
        <v>73</v>
      </c>
      <c r="H48" s="12">
        <v>670.32</v>
      </c>
      <c r="I48" s="13">
        <f t="shared" si="2"/>
        <v>48933.36</v>
      </c>
      <c r="J48" s="14">
        <v>710</v>
      </c>
      <c r="K48" s="13">
        <f t="shared" si="3"/>
        <v>51830</v>
      </c>
      <c r="L48" s="11">
        <f>G48-'4'!D48</f>
        <v>1</v>
      </c>
      <c r="M48" s="13">
        <f t="shared" si="4"/>
        <v>710</v>
      </c>
    </row>
    <row r="49" spans="1:13">
      <c r="A49" s="7" t="s">
        <v>43</v>
      </c>
      <c r="B49" s="7" t="s">
        <v>17</v>
      </c>
      <c r="C49" s="9">
        <v>50</v>
      </c>
      <c r="D49" s="10">
        <v>32</v>
      </c>
      <c r="E49" s="10"/>
      <c r="F49" s="9">
        <f t="shared" si="0"/>
        <v>0</v>
      </c>
      <c r="G49" s="11">
        <f t="shared" si="1"/>
        <v>32</v>
      </c>
      <c r="H49" s="12">
        <v>661.22</v>
      </c>
      <c r="I49" s="13">
        <f t="shared" si="2"/>
        <v>21159.040000000001</v>
      </c>
      <c r="J49" s="14">
        <v>710</v>
      </c>
      <c r="K49" s="13">
        <f t="shared" si="3"/>
        <v>22720</v>
      </c>
      <c r="L49" s="11">
        <f>G49-'4'!D49</f>
        <v>19</v>
      </c>
      <c r="M49" s="13">
        <f t="shared" si="4"/>
        <v>13490</v>
      </c>
    </row>
    <row r="50" spans="1:13">
      <c r="A50" s="7" t="s">
        <v>43</v>
      </c>
      <c r="B50" s="7" t="s">
        <v>18</v>
      </c>
      <c r="C50" s="9">
        <v>50</v>
      </c>
      <c r="D50" s="10">
        <v>23</v>
      </c>
      <c r="E50" s="10"/>
      <c r="F50" s="9">
        <f t="shared" si="0"/>
        <v>0</v>
      </c>
      <c r="G50" s="11">
        <f t="shared" si="1"/>
        <v>23</v>
      </c>
      <c r="H50" s="12">
        <v>661.22</v>
      </c>
      <c r="I50" s="13">
        <f t="shared" si="2"/>
        <v>15208.060000000001</v>
      </c>
      <c r="J50" s="14">
        <v>710</v>
      </c>
      <c r="K50" s="13">
        <f t="shared" si="3"/>
        <v>16330</v>
      </c>
      <c r="L50" s="11">
        <f>G50-'4'!D50</f>
        <v>12</v>
      </c>
      <c r="M50" s="13">
        <f t="shared" si="4"/>
        <v>8520</v>
      </c>
    </row>
    <row r="51" spans="1:13">
      <c r="A51" s="7" t="s">
        <v>43</v>
      </c>
      <c r="B51" s="7" t="s">
        <v>19</v>
      </c>
      <c r="C51" s="9">
        <v>50</v>
      </c>
      <c r="D51" s="10"/>
      <c r="E51" s="10"/>
      <c r="F51" s="9">
        <f t="shared" si="0"/>
        <v>0</v>
      </c>
      <c r="G51" s="11">
        <f t="shared" si="1"/>
        <v>0</v>
      </c>
      <c r="H51" s="12">
        <v>661.22</v>
      </c>
      <c r="I51" s="13">
        <f t="shared" si="2"/>
        <v>0</v>
      </c>
      <c r="J51" s="14">
        <v>710</v>
      </c>
      <c r="K51" s="13">
        <f t="shared" si="3"/>
        <v>0</v>
      </c>
      <c r="L51" s="11">
        <f>G51-'4'!D51</f>
        <v>0</v>
      </c>
      <c r="M51" s="13">
        <f t="shared" si="4"/>
        <v>0</v>
      </c>
    </row>
    <row r="52" spans="1:13">
      <c r="A52" s="7" t="s">
        <v>43</v>
      </c>
      <c r="B52" s="7" t="s">
        <v>20</v>
      </c>
      <c r="C52" s="9">
        <v>50</v>
      </c>
      <c r="D52" s="10"/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f>G52-'4'!D52</f>
        <v>0</v>
      </c>
      <c r="M52" s="13">
        <f t="shared" si="4"/>
        <v>0</v>
      </c>
    </row>
    <row r="53" spans="1:13">
      <c r="A53" s="7" t="s">
        <v>43</v>
      </c>
      <c r="B53" s="7" t="s">
        <v>21</v>
      </c>
      <c r="C53" s="9">
        <v>50</v>
      </c>
      <c r="D53" s="10"/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f>G53-'4'!D53</f>
        <v>0</v>
      </c>
      <c r="M53" s="13">
        <f t="shared" si="4"/>
        <v>0</v>
      </c>
    </row>
    <row r="54" spans="1:13">
      <c r="A54" s="7" t="s">
        <v>43</v>
      </c>
      <c r="B54" s="7" t="s">
        <v>44</v>
      </c>
      <c r="C54" s="9">
        <v>85</v>
      </c>
      <c r="D54" s="10">
        <v>6</v>
      </c>
      <c r="E54" s="10"/>
      <c r="F54" s="9">
        <f t="shared" si="0"/>
        <v>0</v>
      </c>
      <c r="G54" s="11">
        <f t="shared" si="1"/>
        <v>6</v>
      </c>
      <c r="H54" s="12">
        <v>797.07</v>
      </c>
      <c r="I54" s="13">
        <f t="shared" si="2"/>
        <v>4782.42</v>
      </c>
      <c r="J54" s="14">
        <v>845</v>
      </c>
      <c r="K54" s="13">
        <f t="shared" si="3"/>
        <v>5070</v>
      </c>
      <c r="L54" s="11">
        <f>G54-'4'!D54</f>
        <v>3</v>
      </c>
      <c r="M54" s="13">
        <f t="shared" si="4"/>
        <v>2535</v>
      </c>
    </row>
    <row r="55" spans="1:13">
      <c r="A55" s="7" t="s">
        <v>45</v>
      </c>
      <c r="B55" s="7" t="s">
        <v>35</v>
      </c>
      <c r="C55" s="9">
        <v>18</v>
      </c>
      <c r="D55" s="10">
        <v>1165</v>
      </c>
      <c r="E55" s="10"/>
      <c r="F55" s="9">
        <f t="shared" si="0"/>
        <v>0</v>
      </c>
      <c r="G55" s="11">
        <f t="shared" si="1"/>
        <v>1165</v>
      </c>
      <c r="H55" s="12">
        <v>160.77000000000001</v>
      </c>
      <c r="I55" s="13">
        <f t="shared" si="2"/>
        <v>187297.05000000002</v>
      </c>
      <c r="J55" s="14">
        <v>175</v>
      </c>
      <c r="K55" s="13">
        <f t="shared" si="3"/>
        <v>203875</v>
      </c>
      <c r="L55" s="11">
        <f>G55-'4'!D55</f>
        <v>64</v>
      </c>
      <c r="M55" s="13">
        <f t="shared" si="4"/>
        <v>11200</v>
      </c>
    </row>
    <row r="56" spans="1:13">
      <c r="A56" s="7" t="s">
        <v>46</v>
      </c>
      <c r="B56" s="7" t="s">
        <v>13</v>
      </c>
      <c r="C56" s="9">
        <v>70</v>
      </c>
      <c r="D56" s="10">
        <v>21</v>
      </c>
      <c r="E56" s="10"/>
      <c r="F56" s="9">
        <f t="shared" si="0"/>
        <v>0</v>
      </c>
      <c r="G56" s="11">
        <f t="shared" si="1"/>
        <v>21</v>
      </c>
      <c r="H56" s="12">
        <v>744.99</v>
      </c>
      <c r="I56" s="13">
        <f t="shared" si="2"/>
        <v>15644.79</v>
      </c>
      <c r="J56" s="14">
        <v>790</v>
      </c>
      <c r="K56" s="13">
        <f t="shared" si="3"/>
        <v>16590</v>
      </c>
      <c r="L56" s="11">
        <f>G56-'4'!D56</f>
        <v>0</v>
      </c>
      <c r="M56" s="13">
        <f t="shared" si="4"/>
        <v>0</v>
      </c>
    </row>
    <row r="57" spans="1:13">
      <c r="A57" s="7" t="s">
        <v>47</v>
      </c>
      <c r="B57" s="7" t="s">
        <v>29</v>
      </c>
      <c r="C57" s="9">
        <v>30</v>
      </c>
      <c r="D57" s="10"/>
      <c r="E57" s="10"/>
      <c r="F57" s="9">
        <f t="shared" si="0"/>
        <v>0</v>
      </c>
      <c r="G57" s="11">
        <f t="shared" si="1"/>
        <v>0</v>
      </c>
      <c r="H57" s="12">
        <v>316.14999999999998</v>
      </c>
      <c r="I57" s="13">
        <f t="shared" si="2"/>
        <v>0</v>
      </c>
      <c r="J57" s="14">
        <v>336</v>
      </c>
      <c r="K57" s="13">
        <f t="shared" si="3"/>
        <v>0</v>
      </c>
      <c r="L57" s="11">
        <f>G57-'4'!D57</f>
        <v>0</v>
      </c>
      <c r="M57" s="13">
        <f t="shared" si="4"/>
        <v>0</v>
      </c>
    </row>
    <row r="58" spans="1:13">
      <c r="A58" s="7" t="s">
        <v>48</v>
      </c>
      <c r="B58" s="7" t="s">
        <v>13</v>
      </c>
      <c r="C58" s="9">
        <v>95</v>
      </c>
      <c r="D58" s="10">
        <v>16</v>
      </c>
      <c r="E58" s="10"/>
      <c r="F58" s="9">
        <f t="shared" si="0"/>
        <v>0</v>
      </c>
      <c r="G58" s="11">
        <f t="shared" si="1"/>
        <v>16</v>
      </c>
      <c r="H58" s="12">
        <v>1042.9000000000001</v>
      </c>
      <c r="I58" s="13">
        <f t="shared" si="2"/>
        <v>16686.400000000001</v>
      </c>
      <c r="J58" s="14">
        <v>1105</v>
      </c>
      <c r="K58" s="13">
        <f t="shared" si="3"/>
        <v>17680</v>
      </c>
      <c r="L58" s="11">
        <f>G58-'4'!D58</f>
        <v>3</v>
      </c>
      <c r="M58" s="13">
        <f t="shared" si="4"/>
        <v>3315</v>
      </c>
    </row>
    <row r="59" spans="1:13">
      <c r="A59" s="7" t="s">
        <v>49</v>
      </c>
      <c r="B59" s="7" t="s">
        <v>35</v>
      </c>
      <c r="C59" s="9">
        <v>28</v>
      </c>
      <c r="D59" s="10">
        <v>47</v>
      </c>
      <c r="E59" s="10"/>
      <c r="F59" s="9">
        <f t="shared" si="0"/>
        <v>0</v>
      </c>
      <c r="G59" s="11">
        <f t="shared" si="1"/>
        <v>47</v>
      </c>
      <c r="H59" s="12">
        <v>165.06</v>
      </c>
      <c r="I59" s="13">
        <f t="shared" si="2"/>
        <v>7757.82</v>
      </c>
      <c r="J59" s="14">
        <v>180</v>
      </c>
      <c r="K59" s="13">
        <f t="shared" si="3"/>
        <v>8460</v>
      </c>
      <c r="L59" s="11">
        <f>G59-'4'!D59</f>
        <v>7</v>
      </c>
      <c r="M59" s="13">
        <f t="shared" si="4"/>
        <v>1260</v>
      </c>
    </row>
    <row r="60" spans="1:13">
      <c r="A60" s="7" t="s">
        <v>50</v>
      </c>
      <c r="B60" s="7" t="s">
        <v>17</v>
      </c>
      <c r="C60" s="9">
        <v>70</v>
      </c>
      <c r="D60" s="10"/>
      <c r="E60" s="10"/>
      <c r="F60" s="9">
        <f t="shared" si="0"/>
        <v>0</v>
      </c>
      <c r="G60" s="11">
        <f t="shared" si="1"/>
        <v>0</v>
      </c>
      <c r="H60" s="12">
        <v>721.25</v>
      </c>
      <c r="I60" s="13">
        <f t="shared" si="2"/>
        <v>0</v>
      </c>
      <c r="J60" s="14">
        <v>771</v>
      </c>
      <c r="K60" s="13">
        <f t="shared" si="3"/>
        <v>0</v>
      </c>
      <c r="L60" s="11">
        <f>G60-'4'!D60</f>
        <v>0</v>
      </c>
      <c r="M60" s="13">
        <f t="shared" si="4"/>
        <v>0</v>
      </c>
    </row>
    <row r="61" spans="1:13">
      <c r="A61" s="7" t="s">
        <v>50</v>
      </c>
      <c r="B61" s="7" t="s">
        <v>18</v>
      </c>
      <c r="C61" s="9">
        <v>70</v>
      </c>
      <c r="D61" s="10"/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f>G61-'4'!D61</f>
        <v>0</v>
      </c>
      <c r="M61" s="13">
        <f t="shared" si="4"/>
        <v>0</v>
      </c>
    </row>
    <row r="62" spans="1:13">
      <c r="A62" s="7" t="s">
        <v>51</v>
      </c>
      <c r="B62" s="7" t="s">
        <v>17</v>
      </c>
      <c r="C62" s="9">
        <v>100</v>
      </c>
      <c r="D62" s="10">
        <v>246</v>
      </c>
      <c r="E62" s="10"/>
      <c r="F62" s="9">
        <f t="shared" si="0"/>
        <v>0</v>
      </c>
      <c r="G62" s="11">
        <f t="shared" si="1"/>
        <v>246</v>
      </c>
      <c r="H62" s="12">
        <v>790.89</v>
      </c>
      <c r="I62" s="13">
        <f t="shared" si="2"/>
        <v>194558.94</v>
      </c>
      <c r="J62" s="14">
        <v>845</v>
      </c>
      <c r="K62" s="13">
        <f t="shared" si="3"/>
        <v>207870</v>
      </c>
      <c r="L62" s="11">
        <f>G62-'4'!D62</f>
        <v>31</v>
      </c>
      <c r="M62" s="13">
        <f t="shared" si="4"/>
        <v>26195</v>
      </c>
    </row>
    <row r="63" spans="1:13">
      <c r="A63" s="7" t="s">
        <v>51</v>
      </c>
      <c r="B63" s="7" t="s">
        <v>18</v>
      </c>
      <c r="C63" s="9">
        <v>100</v>
      </c>
      <c r="D63" s="10">
        <v>202</v>
      </c>
      <c r="E63" s="10"/>
      <c r="F63" s="9">
        <f t="shared" si="0"/>
        <v>0</v>
      </c>
      <c r="G63" s="11">
        <f t="shared" si="1"/>
        <v>202</v>
      </c>
      <c r="H63" s="12">
        <v>790.89</v>
      </c>
      <c r="I63" s="13">
        <f t="shared" si="2"/>
        <v>159759.78</v>
      </c>
      <c r="J63" s="14">
        <v>845</v>
      </c>
      <c r="K63" s="13">
        <f t="shared" si="3"/>
        <v>170690</v>
      </c>
      <c r="L63" s="11">
        <f>G63-'4'!D63</f>
        <v>18</v>
      </c>
      <c r="M63" s="13">
        <f t="shared" si="4"/>
        <v>15210</v>
      </c>
    </row>
    <row r="64" spans="1:13">
      <c r="A64" s="7" t="s">
        <v>51</v>
      </c>
      <c r="B64" s="7" t="s">
        <v>19</v>
      </c>
      <c r="C64" s="9">
        <v>100</v>
      </c>
      <c r="D64" s="10"/>
      <c r="E64" s="10"/>
      <c r="F64" s="9">
        <f t="shared" si="0"/>
        <v>0</v>
      </c>
      <c r="G64" s="11">
        <f t="shared" si="1"/>
        <v>0</v>
      </c>
      <c r="H64" s="12">
        <v>790.89</v>
      </c>
      <c r="I64" s="13">
        <f t="shared" si="2"/>
        <v>0</v>
      </c>
      <c r="J64" s="14">
        <v>845</v>
      </c>
      <c r="K64" s="13">
        <f t="shared" si="3"/>
        <v>0</v>
      </c>
      <c r="L64" s="11">
        <f>G64-'4'!D64</f>
        <v>0</v>
      </c>
      <c r="M64" s="13">
        <f t="shared" si="4"/>
        <v>0</v>
      </c>
    </row>
    <row r="65" spans="1:13">
      <c r="A65" s="7" t="s">
        <v>51</v>
      </c>
      <c r="B65" s="7" t="s">
        <v>20</v>
      </c>
      <c r="C65" s="9">
        <v>100</v>
      </c>
      <c r="D65" s="10"/>
      <c r="E65" s="11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f>G65-'4'!D65</f>
        <v>0</v>
      </c>
      <c r="M65" s="13">
        <f t="shared" si="4"/>
        <v>0</v>
      </c>
    </row>
    <row r="66" spans="1:13">
      <c r="A66" s="7" t="s">
        <v>51</v>
      </c>
      <c r="B66" s="7" t="s">
        <v>21</v>
      </c>
      <c r="C66" s="9">
        <v>100</v>
      </c>
      <c r="D66" s="10"/>
      <c r="E66" s="11"/>
      <c r="F66" s="15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f>G66-'4'!D66</f>
        <v>0</v>
      </c>
      <c r="M66" s="13">
        <f t="shared" si="4"/>
        <v>0</v>
      </c>
    </row>
    <row r="67" spans="1:13">
      <c r="A67" s="35" t="s">
        <v>52</v>
      </c>
      <c r="B67" s="36"/>
      <c r="C67" s="37"/>
      <c r="D67" s="16">
        <f>SUM(D2:D66)</f>
        <v>5117</v>
      </c>
      <c r="E67" s="17">
        <f>SUM(E2:E66)</f>
        <v>0</v>
      </c>
      <c r="F67" s="18">
        <f>SUM(F2:F66)</f>
        <v>0</v>
      </c>
      <c r="G67" s="17">
        <f>SUM(G2:G66)</f>
        <v>5117</v>
      </c>
      <c r="H67" s="19"/>
      <c r="I67" s="20">
        <f>SUM(I2:I66)</f>
        <v>2005933.6900000002</v>
      </c>
      <c r="J67" s="21">
        <f>SUM(J2:J66)</f>
        <v>39088</v>
      </c>
      <c r="K67" s="22">
        <f>SUM(K2:K66)</f>
        <v>2145555</v>
      </c>
      <c r="L67" s="23">
        <f>SUM(L2:L66)</f>
        <v>510</v>
      </c>
      <c r="M67" s="24">
        <f>SUM(M2:M66)</f>
        <v>325271</v>
      </c>
    </row>
    <row r="70" spans="1:13">
      <c r="F70" s="31"/>
    </row>
    <row r="73" spans="1:13">
      <c r="I73" s="33"/>
      <c r="J73" s="32"/>
      <c r="K73" s="33"/>
    </row>
    <row r="74" spans="1:13">
      <c r="I74" s="33"/>
      <c r="J74" s="32"/>
      <c r="K74" s="33"/>
    </row>
    <row r="75" spans="1:13">
      <c r="I75" s="33"/>
      <c r="J75" s="29"/>
      <c r="K75" s="30"/>
    </row>
    <row r="76" spans="1:13">
      <c r="D76" s="25" t="s">
        <v>53</v>
      </c>
      <c r="I76" s="33"/>
      <c r="J76" s="34"/>
      <c r="K76" s="34"/>
    </row>
    <row r="77" spans="1:13">
      <c r="I77" s="33"/>
      <c r="J77" s="32"/>
      <c r="K77" s="33"/>
    </row>
    <row r="78" spans="1:13">
      <c r="F78" s="26"/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</row>
  </sheetData>
  <mergeCells count="1">
    <mergeCell ref="A67:C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0"/>
  <sheetViews>
    <sheetView topLeftCell="A52" workbookViewId="0">
      <selection activeCell="D60" sqref="D60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492</v>
      </c>
      <c r="E2" s="11"/>
      <c r="F2" s="9">
        <f>E2*H2</f>
        <v>0</v>
      </c>
      <c r="G2" s="11">
        <f>D2+E2</f>
        <v>492</v>
      </c>
      <c r="H2" s="12">
        <v>308.13</v>
      </c>
      <c r="I2" s="13">
        <f>H2*D2</f>
        <v>151599.96</v>
      </c>
      <c r="J2" s="14">
        <v>326</v>
      </c>
      <c r="K2" s="13">
        <f>J2*D2</f>
        <v>160392</v>
      </c>
      <c r="L2" s="11">
        <v>0</v>
      </c>
      <c r="M2" s="13">
        <f>L2*J2</f>
        <v>0</v>
      </c>
    </row>
    <row r="3" spans="1:13">
      <c r="A3" s="7" t="s">
        <v>12</v>
      </c>
      <c r="B3" s="8" t="s">
        <v>14</v>
      </c>
      <c r="C3" s="9">
        <v>9</v>
      </c>
      <c r="D3" s="10">
        <v>67</v>
      </c>
      <c r="E3" s="11"/>
      <c r="F3" s="9">
        <f t="shared" ref="F3:F66" si="0">E3*H3</f>
        <v>0</v>
      </c>
      <c r="G3" s="11">
        <f t="shared" ref="G3:G66" si="1">D3+E3</f>
        <v>67</v>
      </c>
      <c r="H3" s="12">
        <v>308.19</v>
      </c>
      <c r="I3" s="13">
        <f t="shared" ref="I3:I66" si="2">H3*D3</f>
        <v>20648.73</v>
      </c>
      <c r="J3" s="14">
        <v>326</v>
      </c>
      <c r="K3" s="13">
        <f t="shared" ref="K3:K66" si="3">J3*D3</f>
        <v>21842</v>
      </c>
      <c r="L3" s="11">
        <v>0</v>
      </c>
      <c r="M3" s="13">
        <f t="shared" ref="M3:M66" si="4">L3*J3</f>
        <v>0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206</v>
      </c>
      <c r="E5" s="11"/>
      <c r="F5" s="9">
        <f t="shared" si="0"/>
        <v>0</v>
      </c>
      <c r="G5" s="11">
        <f t="shared" si="1"/>
        <v>206</v>
      </c>
      <c r="H5" s="12">
        <v>174.77</v>
      </c>
      <c r="I5" s="13">
        <f t="shared" si="2"/>
        <v>36002.620000000003</v>
      </c>
      <c r="J5" s="14">
        <v>192</v>
      </c>
      <c r="K5" s="13">
        <f t="shared" si="3"/>
        <v>39552</v>
      </c>
      <c r="L5" s="11">
        <v>0</v>
      </c>
      <c r="M5" s="13">
        <f t="shared" si="4"/>
        <v>0</v>
      </c>
    </row>
    <row r="6" spans="1:13">
      <c r="A6" s="7" t="s">
        <v>16</v>
      </c>
      <c r="B6" s="8" t="s">
        <v>18</v>
      </c>
      <c r="C6" s="9">
        <v>10</v>
      </c>
      <c r="D6" s="10">
        <v>206</v>
      </c>
      <c r="E6" s="11"/>
      <c r="F6" s="9">
        <f t="shared" si="0"/>
        <v>0</v>
      </c>
      <c r="G6" s="11">
        <f t="shared" si="1"/>
        <v>206</v>
      </c>
      <c r="H6" s="12">
        <v>174.77</v>
      </c>
      <c r="I6" s="13">
        <f t="shared" si="2"/>
        <v>36002.620000000003</v>
      </c>
      <c r="J6" s="14">
        <v>192</v>
      </c>
      <c r="K6" s="13">
        <f t="shared" si="3"/>
        <v>39552</v>
      </c>
      <c r="L6" s="11">
        <v>0</v>
      </c>
      <c r="M6" s="13">
        <f t="shared" si="4"/>
        <v>0</v>
      </c>
    </row>
    <row r="7" spans="1:13">
      <c r="A7" s="7" t="s">
        <v>16</v>
      </c>
      <c r="B7" s="8" t="s">
        <v>19</v>
      </c>
      <c r="C7" s="9">
        <v>10</v>
      </c>
      <c r="D7" s="10">
        <v>57</v>
      </c>
      <c r="E7" s="11"/>
      <c r="F7" s="9">
        <f t="shared" si="0"/>
        <v>0</v>
      </c>
      <c r="G7" s="11">
        <f t="shared" si="1"/>
        <v>57</v>
      </c>
      <c r="H7" s="12">
        <v>174.77</v>
      </c>
      <c r="I7" s="13">
        <f t="shared" si="2"/>
        <v>9961.8900000000012</v>
      </c>
      <c r="J7" s="14">
        <v>192</v>
      </c>
      <c r="K7" s="13">
        <f t="shared" si="3"/>
        <v>10944</v>
      </c>
      <c r="L7" s="11">
        <v>0</v>
      </c>
      <c r="M7" s="13">
        <f t="shared" si="4"/>
        <v>0</v>
      </c>
    </row>
    <row r="8" spans="1:13">
      <c r="A8" s="7" t="s">
        <v>16</v>
      </c>
      <c r="B8" s="8" t="s">
        <v>20</v>
      </c>
      <c r="C8" s="9">
        <v>10</v>
      </c>
      <c r="D8" s="10">
        <v>93</v>
      </c>
      <c r="E8" s="11"/>
      <c r="F8" s="9">
        <f t="shared" si="0"/>
        <v>0</v>
      </c>
      <c r="G8" s="11">
        <f t="shared" si="1"/>
        <v>93</v>
      </c>
      <c r="H8" s="12">
        <v>174.77</v>
      </c>
      <c r="I8" s="13">
        <f t="shared" si="2"/>
        <v>16253.61</v>
      </c>
      <c r="J8" s="14">
        <v>192</v>
      </c>
      <c r="K8" s="13">
        <f t="shared" si="3"/>
        <v>17856</v>
      </c>
      <c r="L8" s="11">
        <v>0</v>
      </c>
      <c r="M8" s="13">
        <f t="shared" si="4"/>
        <v>0</v>
      </c>
    </row>
    <row r="9" spans="1:13">
      <c r="A9" s="7" t="s">
        <v>16</v>
      </c>
      <c r="B9" s="8" t="s">
        <v>21</v>
      </c>
      <c r="C9" s="9">
        <v>10</v>
      </c>
      <c r="D9" s="10">
        <v>200</v>
      </c>
      <c r="E9" s="11"/>
      <c r="F9" s="9">
        <f t="shared" si="0"/>
        <v>0</v>
      </c>
      <c r="G9" s="11">
        <f t="shared" si="1"/>
        <v>200</v>
      </c>
      <c r="H9" s="12">
        <v>174.77</v>
      </c>
      <c r="I9" s="13">
        <f t="shared" si="2"/>
        <v>34954</v>
      </c>
      <c r="J9" s="14">
        <v>192</v>
      </c>
      <c r="K9" s="13">
        <f t="shared" si="3"/>
        <v>38400</v>
      </c>
      <c r="L9" s="11">
        <v>0</v>
      </c>
      <c r="M9" s="13">
        <f t="shared" si="4"/>
        <v>0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39</v>
      </c>
      <c r="E11" s="11"/>
      <c r="F11" s="9">
        <f t="shared" si="0"/>
        <v>0</v>
      </c>
      <c r="G11" s="11">
        <f t="shared" si="1"/>
        <v>39</v>
      </c>
      <c r="H11" s="12">
        <v>470.8</v>
      </c>
      <c r="I11" s="13">
        <f t="shared" si="2"/>
        <v>18361.2</v>
      </c>
      <c r="J11" s="14">
        <v>505</v>
      </c>
      <c r="K11" s="13">
        <f t="shared" si="3"/>
        <v>19695</v>
      </c>
      <c r="L11" s="11">
        <v>0</v>
      </c>
      <c r="M11" s="13">
        <f t="shared" si="4"/>
        <v>0</v>
      </c>
    </row>
    <row r="12" spans="1:13">
      <c r="A12" s="7" t="s">
        <v>22</v>
      </c>
      <c r="B12" s="8" t="s">
        <v>17</v>
      </c>
      <c r="C12" s="9">
        <v>20</v>
      </c>
      <c r="D12" s="10">
        <v>484</v>
      </c>
      <c r="E12" s="11"/>
      <c r="F12" s="9">
        <f>E12*H12</f>
        <v>0</v>
      </c>
      <c r="G12" s="11">
        <f t="shared" si="1"/>
        <v>484</v>
      </c>
      <c r="H12" s="12">
        <v>475.77</v>
      </c>
      <c r="I12" s="13">
        <f t="shared" si="2"/>
        <v>230272.68</v>
      </c>
      <c r="J12" s="14">
        <v>505</v>
      </c>
      <c r="K12" s="13">
        <f t="shared" si="3"/>
        <v>244420</v>
      </c>
      <c r="L12" s="11">
        <v>0</v>
      </c>
      <c r="M12" s="13">
        <f t="shared" si="4"/>
        <v>0</v>
      </c>
    </row>
    <row r="13" spans="1:13">
      <c r="A13" s="7" t="s">
        <v>22</v>
      </c>
      <c r="B13" s="8" t="s">
        <v>18</v>
      </c>
      <c r="C13" s="9">
        <v>20</v>
      </c>
      <c r="D13" s="10">
        <v>317</v>
      </c>
      <c r="E13" s="11"/>
      <c r="F13" s="9">
        <f t="shared" si="0"/>
        <v>0</v>
      </c>
      <c r="G13" s="11">
        <f t="shared" si="1"/>
        <v>317</v>
      </c>
      <c r="H13" s="12">
        <v>475.77</v>
      </c>
      <c r="I13" s="13">
        <f t="shared" si="2"/>
        <v>150819.09</v>
      </c>
      <c r="J13" s="14">
        <v>505</v>
      </c>
      <c r="K13" s="13">
        <f t="shared" si="3"/>
        <v>160085</v>
      </c>
      <c r="L13" s="11">
        <v>0</v>
      </c>
      <c r="M13" s="13">
        <f t="shared" si="4"/>
        <v>0</v>
      </c>
    </row>
    <row r="14" spans="1:13">
      <c r="A14" s="7" t="s">
        <v>22</v>
      </c>
      <c r="B14" s="8" t="s">
        <v>19</v>
      </c>
      <c r="C14" s="9">
        <v>20</v>
      </c>
      <c r="D14" s="10">
        <v>54</v>
      </c>
      <c r="E14" s="11"/>
      <c r="F14" s="9">
        <f t="shared" si="0"/>
        <v>0</v>
      </c>
      <c r="G14" s="11">
        <f t="shared" si="1"/>
        <v>54</v>
      </c>
      <c r="H14" s="12">
        <v>470.8</v>
      </c>
      <c r="I14" s="13">
        <f t="shared" si="2"/>
        <v>25423.200000000001</v>
      </c>
      <c r="J14" s="14">
        <v>505</v>
      </c>
      <c r="K14" s="13">
        <f t="shared" si="3"/>
        <v>27270</v>
      </c>
      <c r="L14" s="11">
        <v>0</v>
      </c>
      <c r="M14" s="13">
        <f t="shared" si="4"/>
        <v>0</v>
      </c>
    </row>
    <row r="15" spans="1:13">
      <c r="A15" s="7" t="s">
        <v>22</v>
      </c>
      <c r="B15" s="8" t="s">
        <v>20</v>
      </c>
      <c r="C15" s="9">
        <v>20</v>
      </c>
      <c r="D15" s="10">
        <v>49</v>
      </c>
      <c r="E15" s="11"/>
      <c r="F15" s="9">
        <f t="shared" si="0"/>
        <v>0</v>
      </c>
      <c r="G15" s="11">
        <f t="shared" si="1"/>
        <v>49</v>
      </c>
      <c r="H15" s="12">
        <v>470.8</v>
      </c>
      <c r="I15" s="13">
        <f t="shared" si="2"/>
        <v>23069.200000000001</v>
      </c>
      <c r="J15" s="14">
        <v>505</v>
      </c>
      <c r="K15" s="13">
        <f t="shared" si="3"/>
        <v>24745</v>
      </c>
      <c r="L15" s="11">
        <v>0</v>
      </c>
      <c r="M15" s="13">
        <f t="shared" si="4"/>
        <v>0</v>
      </c>
    </row>
    <row r="16" spans="1:13">
      <c r="A16" s="7" t="s">
        <v>22</v>
      </c>
      <c r="B16" s="8" t="s">
        <v>21</v>
      </c>
      <c r="C16" s="9">
        <v>20</v>
      </c>
      <c r="D16" s="10"/>
      <c r="E16" s="11"/>
      <c r="F16" s="9">
        <f t="shared" si="0"/>
        <v>0</v>
      </c>
      <c r="G16" s="11">
        <f t="shared" si="1"/>
        <v>0</v>
      </c>
      <c r="H16" s="12">
        <v>470.8</v>
      </c>
      <c r="I16" s="13">
        <f t="shared" si="2"/>
        <v>0</v>
      </c>
      <c r="J16" s="14">
        <v>505</v>
      </c>
      <c r="K16" s="13">
        <f t="shared" si="3"/>
        <v>0</v>
      </c>
      <c r="L16" s="11">
        <v>0</v>
      </c>
      <c r="M16" s="13">
        <f t="shared" si="4"/>
        <v>0</v>
      </c>
    </row>
    <row r="17" spans="1:13">
      <c r="A17" s="7" t="s">
        <v>22</v>
      </c>
      <c r="B17" s="8" t="s">
        <v>29</v>
      </c>
      <c r="C17" s="9">
        <v>11</v>
      </c>
      <c r="D17" s="10">
        <v>87</v>
      </c>
      <c r="E17" s="11"/>
      <c r="F17" s="9">
        <f t="shared" si="0"/>
        <v>0</v>
      </c>
      <c r="G17" s="11">
        <f t="shared" si="1"/>
        <v>87</v>
      </c>
      <c r="H17" s="12">
        <v>235.59</v>
      </c>
      <c r="I17" s="13">
        <f t="shared" si="2"/>
        <v>20496.330000000002</v>
      </c>
      <c r="J17" s="14">
        <v>250</v>
      </c>
      <c r="K17" s="13">
        <f t="shared" si="3"/>
        <v>21750</v>
      </c>
      <c r="L17" s="11">
        <v>0</v>
      </c>
      <c r="M17" s="13">
        <f t="shared" si="4"/>
        <v>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/>
      <c r="E19" s="11"/>
      <c r="F19" s="9">
        <f t="shared" si="0"/>
        <v>0</v>
      </c>
      <c r="G19" s="11">
        <f t="shared" si="1"/>
        <v>0</v>
      </c>
      <c r="H19" s="12">
        <v>204</v>
      </c>
      <c r="I19" s="13">
        <f t="shared" si="2"/>
        <v>0</v>
      </c>
      <c r="J19" s="14">
        <v>230</v>
      </c>
      <c r="K19" s="13">
        <f t="shared" si="3"/>
        <v>0</v>
      </c>
      <c r="L19" s="11">
        <v>0</v>
      </c>
      <c r="M19" s="13">
        <f t="shared" si="4"/>
        <v>0</v>
      </c>
    </row>
    <row r="20" spans="1:13">
      <c r="A20" s="7" t="s">
        <v>22</v>
      </c>
      <c r="B20" s="8" t="s">
        <v>25</v>
      </c>
      <c r="C20" s="9">
        <v>10</v>
      </c>
      <c r="D20" s="10"/>
      <c r="E20" s="11"/>
      <c r="F20" s="9">
        <f t="shared" si="0"/>
        <v>0</v>
      </c>
      <c r="G20" s="11">
        <f t="shared" si="1"/>
        <v>0</v>
      </c>
      <c r="H20" s="12">
        <v>204</v>
      </c>
      <c r="I20" s="13">
        <f>H20*D20</f>
        <v>0</v>
      </c>
      <c r="J20" s="14">
        <v>230</v>
      </c>
      <c r="K20" s="13">
        <f t="shared" si="3"/>
        <v>0</v>
      </c>
      <c r="L20" s="11">
        <v>0</v>
      </c>
      <c r="M20" s="13">
        <f t="shared" si="4"/>
        <v>0</v>
      </c>
    </row>
    <row r="21" spans="1:13">
      <c r="A21" s="7" t="s">
        <v>22</v>
      </c>
      <c r="B21" s="8" t="s">
        <v>26</v>
      </c>
      <c r="C21" s="9">
        <v>10</v>
      </c>
      <c r="D21" s="10">
        <v>30</v>
      </c>
      <c r="E21" s="11"/>
      <c r="F21" s="9">
        <f t="shared" si="0"/>
        <v>0</v>
      </c>
      <c r="G21" s="11">
        <f t="shared" si="1"/>
        <v>30</v>
      </c>
      <c r="H21" s="12">
        <v>204</v>
      </c>
      <c r="I21" s="13">
        <f t="shared" si="2"/>
        <v>6120</v>
      </c>
      <c r="J21" s="14">
        <v>230</v>
      </c>
      <c r="K21" s="13">
        <f t="shared" si="3"/>
        <v>6900</v>
      </c>
      <c r="L21" s="11">
        <v>0</v>
      </c>
      <c r="M21" s="13">
        <f t="shared" si="4"/>
        <v>0</v>
      </c>
    </row>
    <row r="22" spans="1:13">
      <c r="A22" s="7" t="s">
        <v>22</v>
      </c>
      <c r="B22" s="8" t="s">
        <v>13</v>
      </c>
      <c r="C22" s="9">
        <v>19</v>
      </c>
      <c r="D22" s="10">
        <v>77</v>
      </c>
      <c r="E22" s="11"/>
      <c r="F22" s="9">
        <f t="shared" si="0"/>
        <v>0</v>
      </c>
      <c r="G22" s="11">
        <f t="shared" si="1"/>
        <v>77</v>
      </c>
      <c r="H22" s="12">
        <v>474.46</v>
      </c>
      <c r="I22" s="13">
        <f t="shared" si="2"/>
        <v>36533.42</v>
      </c>
      <c r="J22" s="14">
        <v>505</v>
      </c>
      <c r="K22" s="13">
        <f t="shared" si="3"/>
        <v>38885</v>
      </c>
      <c r="L22" s="11">
        <v>0</v>
      </c>
      <c r="M22" s="13">
        <f t="shared" si="4"/>
        <v>0</v>
      </c>
    </row>
    <row r="23" spans="1:13">
      <c r="A23" s="7" t="s">
        <v>22</v>
      </c>
      <c r="B23" s="8" t="s">
        <v>27</v>
      </c>
      <c r="C23" s="9">
        <v>24</v>
      </c>
      <c r="D23" s="10">
        <v>67</v>
      </c>
      <c r="E23" s="11"/>
      <c r="F23" s="9">
        <f t="shared" si="0"/>
        <v>0</v>
      </c>
      <c r="G23" s="11">
        <f t="shared" si="1"/>
        <v>67</v>
      </c>
      <c r="H23" s="12">
        <v>593.91999999999996</v>
      </c>
      <c r="I23" s="13">
        <f t="shared" si="2"/>
        <v>39792.639999999999</v>
      </c>
      <c r="J23" s="14">
        <v>630</v>
      </c>
      <c r="K23" s="13">
        <f t="shared" si="3"/>
        <v>42210</v>
      </c>
      <c r="L23" s="11">
        <v>0</v>
      </c>
      <c r="M23" s="13">
        <f t="shared" si="4"/>
        <v>0</v>
      </c>
    </row>
    <row r="24" spans="1:13">
      <c r="A24" s="7" t="s">
        <v>30</v>
      </c>
      <c r="B24" s="8" t="s">
        <v>17</v>
      </c>
      <c r="C24" s="9">
        <v>25</v>
      </c>
      <c r="D24" s="10">
        <v>63</v>
      </c>
      <c r="E24" s="10"/>
      <c r="F24" s="9">
        <f t="shared" si="0"/>
        <v>0</v>
      </c>
      <c r="G24" s="11">
        <f t="shared" si="1"/>
        <v>63</v>
      </c>
      <c r="H24" s="12">
        <v>453.3</v>
      </c>
      <c r="I24" s="13">
        <f t="shared" si="2"/>
        <v>28557.9</v>
      </c>
      <c r="J24" s="14">
        <v>493</v>
      </c>
      <c r="K24" s="13">
        <f t="shared" si="3"/>
        <v>31059</v>
      </c>
      <c r="L24" s="11">
        <v>0</v>
      </c>
      <c r="M24" s="13">
        <f t="shared" si="4"/>
        <v>0</v>
      </c>
    </row>
    <row r="25" spans="1:13">
      <c r="A25" s="7" t="s">
        <v>30</v>
      </c>
      <c r="B25" s="8" t="s">
        <v>18</v>
      </c>
      <c r="C25" s="9">
        <v>25</v>
      </c>
      <c r="D25" s="10">
        <v>54</v>
      </c>
      <c r="E25" s="10"/>
      <c r="F25" s="9">
        <f t="shared" si="0"/>
        <v>0</v>
      </c>
      <c r="G25" s="11">
        <f t="shared" si="1"/>
        <v>54</v>
      </c>
      <c r="H25" s="12">
        <v>453.3</v>
      </c>
      <c r="I25" s="13">
        <f t="shared" si="2"/>
        <v>24478.2</v>
      </c>
      <c r="J25" s="14">
        <v>493</v>
      </c>
      <c r="K25" s="13">
        <f t="shared" si="3"/>
        <v>26622</v>
      </c>
      <c r="L25" s="11">
        <v>0</v>
      </c>
      <c r="M25" s="13">
        <f t="shared" si="4"/>
        <v>0</v>
      </c>
    </row>
    <row r="26" spans="1:13">
      <c r="A26" s="7" t="s">
        <v>30</v>
      </c>
      <c r="B26" s="8" t="s">
        <v>20</v>
      </c>
      <c r="C26" s="9">
        <v>25</v>
      </c>
      <c r="D26" s="10"/>
      <c r="E26" s="10"/>
      <c r="F26" s="9">
        <f t="shared" si="0"/>
        <v>0</v>
      </c>
      <c r="G26" s="11">
        <f t="shared" si="1"/>
        <v>0</v>
      </c>
      <c r="H26" s="12">
        <v>453.3</v>
      </c>
      <c r="I26" s="13">
        <f t="shared" si="2"/>
        <v>0</v>
      </c>
      <c r="J26" s="14">
        <v>493</v>
      </c>
      <c r="K26" s="13">
        <f t="shared" si="3"/>
        <v>0</v>
      </c>
      <c r="L26" s="11">
        <v>0</v>
      </c>
      <c r="M26" s="13">
        <f t="shared" si="4"/>
        <v>0</v>
      </c>
    </row>
    <row r="27" spans="1:13">
      <c r="A27" s="7" t="s">
        <v>30</v>
      </c>
      <c r="B27" s="8" t="s">
        <v>21</v>
      </c>
      <c r="C27" s="9">
        <v>25</v>
      </c>
      <c r="D27" s="10"/>
      <c r="E27" s="10"/>
      <c r="F27" s="9">
        <f t="shared" si="0"/>
        <v>0</v>
      </c>
      <c r="G27" s="11">
        <f t="shared" si="1"/>
        <v>0</v>
      </c>
      <c r="H27" s="12">
        <v>453.3</v>
      </c>
      <c r="I27" s="13">
        <f t="shared" si="2"/>
        <v>0</v>
      </c>
      <c r="J27" s="14">
        <v>493</v>
      </c>
      <c r="K27" s="13">
        <f t="shared" si="3"/>
        <v>0</v>
      </c>
      <c r="L27" s="11">
        <v>0</v>
      </c>
      <c r="M27" s="13">
        <f t="shared" si="4"/>
        <v>0</v>
      </c>
    </row>
    <row r="28" spans="1:13">
      <c r="A28" s="7" t="s">
        <v>31</v>
      </c>
      <c r="B28" s="7" t="s">
        <v>17</v>
      </c>
      <c r="C28" s="9">
        <v>40</v>
      </c>
      <c r="D28" s="10"/>
      <c r="E28" s="10"/>
      <c r="F28" s="9">
        <f t="shared" si="0"/>
        <v>0</v>
      </c>
      <c r="G28" s="11">
        <f t="shared" si="1"/>
        <v>0</v>
      </c>
      <c r="H28" s="12">
        <v>821.36</v>
      </c>
      <c r="I28" s="13">
        <f t="shared" si="2"/>
        <v>0</v>
      </c>
      <c r="J28" s="14">
        <v>878</v>
      </c>
      <c r="K28" s="13">
        <f t="shared" si="3"/>
        <v>0</v>
      </c>
      <c r="L28" s="11">
        <v>0</v>
      </c>
      <c r="M28" s="13">
        <f t="shared" si="4"/>
        <v>0</v>
      </c>
    </row>
    <row r="29" spans="1:13">
      <c r="A29" s="7" t="s">
        <v>31</v>
      </c>
      <c r="B29" s="7" t="s">
        <v>18</v>
      </c>
      <c r="C29" s="9">
        <v>40</v>
      </c>
      <c r="D29" s="10"/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v>0</v>
      </c>
      <c r="M29" s="13">
        <f t="shared" si="4"/>
        <v>0</v>
      </c>
    </row>
    <row r="30" spans="1:13">
      <c r="A30" s="7" t="s">
        <v>31</v>
      </c>
      <c r="B30" s="7" t="s">
        <v>19</v>
      </c>
      <c r="C30" s="9">
        <v>40</v>
      </c>
      <c r="D30" s="10"/>
      <c r="E30" s="10"/>
      <c r="F30" s="9">
        <f t="shared" si="0"/>
        <v>0</v>
      </c>
      <c r="G30" s="11">
        <f t="shared" si="1"/>
        <v>0</v>
      </c>
      <c r="H30" s="12">
        <v>817.58</v>
      </c>
      <c r="I30" s="13">
        <f t="shared" si="2"/>
        <v>0</v>
      </c>
      <c r="J30" s="14">
        <v>878</v>
      </c>
      <c r="K30" s="13">
        <f t="shared" si="3"/>
        <v>0</v>
      </c>
      <c r="L30" s="11">
        <v>0</v>
      </c>
      <c r="M30" s="13">
        <f t="shared" si="4"/>
        <v>0</v>
      </c>
    </row>
    <row r="31" spans="1:13">
      <c r="A31" s="7" t="s">
        <v>31</v>
      </c>
      <c r="B31" s="7" t="s">
        <v>20</v>
      </c>
      <c r="C31" s="9">
        <v>40</v>
      </c>
      <c r="D31" s="10"/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v>0</v>
      </c>
      <c r="M31" s="13">
        <f t="shared" si="4"/>
        <v>0</v>
      </c>
    </row>
    <row r="32" spans="1:13">
      <c r="A32" s="7" t="s">
        <v>31</v>
      </c>
      <c r="B32" s="7" t="s">
        <v>21</v>
      </c>
      <c r="C32" s="9">
        <v>40</v>
      </c>
      <c r="D32" s="10"/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v>0</v>
      </c>
      <c r="M32" s="13">
        <f t="shared" si="4"/>
        <v>0</v>
      </c>
    </row>
    <row r="33" spans="1:13">
      <c r="A33" s="7" t="s">
        <v>31</v>
      </c>
      <c r="B33" s="7" t="s">
        <v>32</v>
      </c>
      <c r="C33" s="9">
        <v>40</v>
      </c>
      <c r="D33" s="10"/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v>0</v>
      </c>
      <c r="M33" s="13">
        <f t="shared" si="4"/>
        <v>0</v>
      </c>
    </row>
    <row r="34" spans="1:13">
      <c r="A34" s="7" t="s">
        <v>31</v>
      </c>
      <c r="B34" s="7" t="s">
        <v>33</v>
      </c>
      <c r="C34" s="9">
        <v>60</v>
      </c>
      <c r="D34" s="10">
        <v>46</v>
      </c>
      <c r="E34" s="10"/>
      <c r="F34" s="9">
        <f t="shared" si="0"/>
        <v>0</v>
      </c>
      <c r="G34" s="11">
        <f t="shared" si="1"/>
        <v>46</v>
      </c>
      <c r="H34" s="12">
        <v>1042.6500000000001</v>
      </c>
      <c r="I34" s="13">
        <f t="shared" si="2"/>
        <v>47961.9</v>
      </c>
      <c r="J34" s="14">
        <v>1110</v>
      </c>
      <c r="K34" s="13">
        <f t="shared" si="3"/>
        <v>51060</v>
      </c>
      <c r="L34" s="11">
        <v>0</v>
      </c>
      <c r="M34" s="13">
        <f t="shared" si="4"/>
        <v>0</v>
      </c>
    </row>
    <row r="35" spans="1:13">
      <c r="A35" s="7" t="s">
        <v>34</v>
      </c>
      <c r="B35" s="7" t="s">
        <v>35</v>
      </c>
      <c r="C35" s="9">
        <v>7</v>
      </c>
      <c r="D35" s="10">
        <v>15</v>
      </c>
      <c r="E35" s="10"/>
      <c r="F35" s="9">
        <f t="shared" si="0"/>
        <v>0</v>
      </c>
      <c r="G35" s="11">
        <f t="shared" si="1"/>
        <v>15</v>
      </c>
      <c r="H35" s="12">
        <v>126.24</v>
      </c>
      <c r="I35" s="13">
        <f t="shared" si="2"/>
        <v>1893.6</v>
      </c>
      <c r="J35" s="14">
        <v>140</v>
      </c>
      <c r="K35" s="13">
        <f t="shared" si="3"/>
        <v>2100</v>
      </c>
      <c r="L35" s="11">
        <v>0</v>
      </c>
      <c r="M35" s="13">
        <f t="shared" si="4"/>
        <v>0</v>
      </c>
    </row>
    <row r="36" spans="1:13">
      <c r="A36" s="7" t="s">
        <v>36</v>
      </c>
      <c r="B36" s="7" t="s">
        <v>37</v>
      </c>
      <c r="C36" s="9">
        <v>125</v>
      </c>
      <c r="D36" s="10">
        <v>21</v>
      </c>
      <c r="E36" s="10"/>
      <c r="F36" s="9">
        <f t="shared" si="0"/>
        <v>0</v>
      </c>
      <c r="G36" s="11">
        <f t="shared" si="1"/>
        <v>21</v>
      </c>
      <c r="H36" s="12">
        <v>2050.54</v>
      </c>
      <c r="I36" s="13">
        <f t="shared" si="2"/>
        <v>43061.34</v>
      </c>
      <c r="J36" s="14">
        <v>2175</v>
      </c>
      <c r="K36" s="13">
        <f t="shared" si="3"/>
        <v>45675</v>
      </c>
      <c r="L36" s="11">
        <v>0</v>
      </c>
      <c r="M36" s="13">
        <f t="shared" si="4"/>
        <v>0</v>
      </c>
    </row>
    <row r="37" spans="1:13">
      <c r="A37" s="7" t="s">
        <v>38</v>
      </c>
      <c r="B37" s="7" t="s">
        <v>17</v>
      </c>
      <c r="C37" s="9">
        <v>20</v>
      </c>
      <c r="D37" s="10">
        <v>2</v>
      </c>
      <c r="E37" s="10"/>
      <c r="F37" s="9">
        <f t="shared" si="0"/>
        <v>0</v>
      </c>
      <c r="G37" s="11">
        <f t="shared" si="1"/>
        <v>2</v>
      </c>
      <c r="H37" s="12">
        <v>399.19</v>
      </c>
      <c r="I37" s="13">
        <f t="shared" si="2"/>
        <v>798.38</v>
      </c>
      <c r="J37" s="14">
        <v>420</v>
      </c>
      <c r="K37" s="13">
        <f t="shared" si="3"/>
        <v>840</v>
      </c>
      <c r="L37" s="11">
        <v>0</v>
      </c>
      <c r="M37" s="13">
        <f t="shared" si="4"/>
        <v>0</v>
      </c>
    </row>
    <row r="38" spans="1:13">
      <c r="A38" s="7" t="s">
        <v>38</v>
      </c>
      <c r="B38" s="7" t="s">
        <v>18</v>
      </c>
      <c r="C38" s="9">
        <v>20</v>
      </c>
      <c r="D38" s="10"/>
      <c r="E38" s="10"/>
      <c r="F38" s="9">
        <f t="shared" si="0"/>
        <v>0</v>
      </c>
      <c r="G38" s="11">
        <f t="shared" si="1"/>
        <v>0</v>
      </c>
      <c r="H38" s="12">
        <v>399.19</v>
      </c>
      <c r="I38" s="13">
        <f t="shared" si="2"/>
        <v>0</v>
      </c>
      <c r="J38" s="14">
        <v>420</v>
      </c>
      <c r="K38" s="13">
        <f t="shared" si="3"/>
        <v>0</v>
      </c>
      <c r="L38" s="11">
        <v>0</v>
      </c>
      <c r="M38" s="13">
        <f t="shared" si="4"/>
        <v>0</v>
      </c>
    </row>
    <row r="39" spans="1:13">
      <c r="A39" s="7" t="s">
        <v>38</v>
      </c>
      <c r="B39" s="7" t="s">
        <v>21</v>
      </c>
      <c r="C39" s="9">
        <v>20</v>
      </c>
      <c r="D39" s="10"/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v>0</v>
      </c>
      <c r="M39" s="13">
        <f t="shared" si="4"/>
        <v>0</v>
      </c>
    </row>
    <row r="40" spans="1:13">
      <c r="A40" s="7" t="s">
        <v>39</v>
      </c>
      <c r="B40" s="7" t="s">
        <v>35</v>
      </c>
      <c r="C40" s="9">
        <v>9</v>
      </c>
      <c r="D40" s="10">
        <v>73</v>
      </c>
      <c r="E40" s="10"/>
      <c r="F40" s="9">
        <f t="shared" si="0"/>
        <v>0</v>
      </c>
      <c r="G40" s="11">
        <f t="shared" si="1"/>
        <v>73</v>
      </c>
      <c r="H40" s="12">
        <v>174.19</v>
      </c>
      <c r="I40" s="13">
        <f t="shared" si="2"/>
        <v>12715.869999999999</v>
      </c>
      <c r="J40" s="14">
        <v>185</v>
      </c>
      <c r="K40" s="13">
        <f t="shared" si="3"/>
        <v>13505</v>
      </c>
      <c r="L40" s="11">
        <v>0</v>
      </c>
      <c r="M40" s="13">
        <f t="shared" si="4"/>
        <v>0</v>
      </c>
    </row>
    <row r="41" spans="1:13">
      <c r="A41" s="7" t="s">
        <v>40</v>
      </c>
      <c r="B41" s="7" t="s">
        <v>13</v>
      </c>
      <c r="C41" s="9">
        <v>35</v>
      </c>
      <c r="D41" s="10">
        <v>31</v>
      </c>
      <c r="E41" s="10"/>
      <c r="F41" s="9">
        <f t="shared" si="0"/>
        <v>0</v>
      </c>
      <c r="G41" s="11">
        <f t="shared" si="1"/>
        <v>31</v>
      </c>
      <c r="H41" s="12">
        <v>748.13</v>
      </c>
      <c r="I41" s="13">
        <f t="shared" si="2"/>
        <v>23192.03</v>
      </c>
      <c r="J41" s="14">
        <v>795</v>
      </c>
      <c r="K41" s="13">
        <f t="shared" si="3"/>
        <v>24645</v>
      </c>
      <c r="L41" s="11">
        <v>0</v>
      </c>
      <c r="M41" s="13">
        <f t="shared" si="4"/>
        <v>0</v>
      </c>
    </row>
    <row r="42" spans="1:13">
      <c r="A42" s="7" t="s">
        <v>41</v>
      </c>
      <c r="B42" s="7" t="s">
        <v>17</v>
      </c>
      <c r="C42" s="9">
        <v>40</v>
      </c>
      <c r="D42" s="10">
        <v>27</v>
      </c>
      <c r="E42" s="10"/>
      <c r="F42" s="9">
        <f t="shared" si="0"/>
        <v>0</v>
      </c>
      <c r="G42" s="11">
        <f t="shared" si="1"/>
        <v>27</v>
      </c>
      <c r="H42" s="12">
        <v>842.86</v>
      </c>
      <c r="I42" s="13">
        <f t="shared" si="2"/>
        <v>22757.22</v>
      </c>
      <c r="J42" s="14">
        <v>900</v>
      </c>
      <c r="K42" s="13">
        <f t="shared" si="3"/>
        <v>24300</v>
      </c>
      <c r="L42" s="11">
        <v>0</v>
      </c>
      <c r="M42" s="13">
        <f t="shared" si="4"/>
        <v>0</v>
      </c>
    </row>
    <row r="43" spans="1:13">
      <c r="A43" s="7" t="s">
        <v>41</v>
      </c>
      <c r="B43" s="7" t="s">
        <v>18</v>
      </c>
      <c r="C43" s="9">
        <v>40</v>
      </c>
      <c r="D43" s="10">
        <v>33</v>
      </c>
      <c r="E43" s="10"/>
      <c r="F43" s="9">
        <f t="shared" si="0"/>
        <v>0</v>
      </c>
      <c r="G43" s="11">
        <f t="shared" si="1"/>
        <v>33</v>
      </c>
      <c r="H43" s="12">
        <v>842.86</v>
      </c>
      <c r="I43" s="13">
        <f t="shared" si="2"/>
        <v>27814.38</v>
      </c>
      <c r="J43" s="14">
        <v>900</v>
      </c>
      <c r="K43" s="13">
        <f t="shared" si="3"/>
        <v>29700</v>
      </c>
      <c r="L43" s="11">
        <v>0</v>
      </c>
      <c r="M43" s="13">
        <f t="shared" si="4"/>
        <v>0</v>
      </c>
    </row>
    <row r="44" spans="1:13">
      <c r="A44" s="7" t="s">
        <v>41</v>
      </c>
      <c r="B44" s="7" t="s">
        <v>19</v>
      </c>
      <c r="C44" s="9">
        <v>40</v>
      </c>
      <c r="D44" s="10"/>
      <c r="E44" s="10"/>
      <c r="F44" s="9">
        <f t="shared" si="0"/>
        <v>0</v>
      </c>
      <c r="G44" s="11">
        <f t="shared" si="1"/>
        <v>0</v>
      </c>
      <c r="H44" s="12">
        <v>839.68</v>
      </c>
      <c r="I44" s="13">
        <f t="shared" si="2"/>
        <v>0</v>
      </c>
      <c r="J44" s="14">
        <v>900</v>
      </c>
      <c r="K44" s="13">
        <f t="shared" si="3"/>
        <v>0</v>
      </c>
      <c r="L44" s="11">
        <v>0</v>
      </c>
      <c r="M44" s="13">
        <f t="shared" si="4"/>
        <v>0</v>
      </c>
    </row>
    <row r="45" spans="1:13">
      <c r="A45" s="7" t="s">
        <v>41</v>
      </c>
      <c r="B45" s="7" t="s">
        <v>20</v>
      </c>
      <c r="C45" s="9">
        <v>40</v>
      </c>
      <c r="D45" s="10"/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v>0</v>
      </c>
      <c r="M45" s="13">
        <f t="shared" si="4"/>
        <v>0</v>
      </c>
    </row>
    <row r="46" spans="1:13">
      <c r="A46" s="7" t="s">
        <v>41</v>
      </c>
      <c r="B46" s="7" t="s">
        <v>21</v>
      </c>
      <c r="C46" s="9">
        <v>40</v>
      </c>
      <c r="D46" s="10"/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v>0</v>
      </c>
      <c r="M46" s="13">
        <f t="shared" si="4"/>
        <v>0</v>
      </c>
    </row>
    <row r="47" spans="1:13">
      <c r="A47" s="7" t="s">
        <v>42</v>
      </c>
      <c r="B47" s="7" t="s">
        <v>29</v>
      </c>
      <c r="C47" s="9">
        <v>18</v>
      </c>
      <c r="D47" s="10">
        <v>44</v>
      </c>
      <c r="E47" s="10"/>
      <c r="F47" s="9">
        <f t="shared" si="0"/>
        <v>0</v>
      </c>
      <c r="G47" s="11">
        <f t="shared" si="1"/>
        <v>44</v>
      </c>
      <c r="H47" s="12">
        <v>375.68</v>
      </c>
      <c r="I47" s="13">
        <f t="shared" si="2"/>
        <v>16529.920000000002</v>
      </c>
      <c r="J47" s="14">
        <v>400</v>
      </c>
      <c r="K47" s="13">
        <f t="shared" si="3"/>
        <v>17600</v>
      </c>
      <c r="L47" s="11">
        <v>0</v>
      </c>
      <c r="M47" s="13">
        <f t="shared" si="4"/>
        <v>0</v>
      </c>
    </row>
    <row r="48" spans="1:13">
      <c r="A48" s="7" t="s">
        <v>54</v>
      </c>
      <c r="B48" s="7" t="s">
        <v>44</v>
      </c>
      <c r="C48" s="9">
        <v>50</v>
      </c>
      <c r="D48" s="11">
        <v>72</v>
      </c>
      <c r="E48" s="11"/>
      <c r="F48" s="9">
        <f t="shared" si="0"/>
        <v>0</v>
      </c>
      <c r="G48" s="11">
        <f t="shared" si="1"/>
        <v>72</v>
      </c>
      <c r="H48" s="12">
        <v>670.32</v>
      </c>
      <c r="I48" s="13">
        <f t="shared" si="2"/>
        <v>48263.040000000001</v>
      </c>
      <c r="J48" s="14">
        <v>710</v>
      </c>
      <c r="K48" s="13">
        <f t="shared" si="3"/>
        <v>51120</v>
      </c>
      <c r="L48" s="11">
        <v>0</v>
      </c>
      <c r="M48" s="13">
        <f t="shared" si="4"/>
        <v>0</v>
      </c>
    </row>
    <row r="49" spans="1:13">
      <c r="A49" s="7" t="s">
        <v>43</v>
      </c>
      <c r="B49" s="7" t="s">
        <v>17</v>
      </c>
      <c r="C49" s="9">
        <v>50</v>
      </c>
      <c r="D49" s="10">
        <v>13</v>
      </c>
      <c r="E49" s="10"/>
      <c r="F49" s="9">
        <f t="shared" si="0"/>
        <v>0</v>
      </c>
      <c r="G49" s="11">
        <f t="shared" si="1"/>
        <v>13</v>
      </c>
      <c r="H49" s="12">
        <v>661.22</v>
      </c>
      <c r="I49" s="13">
        <f t="shared" si="2"/>
        <v>8595.86</v>
      </c>
      <c r="J49" s="14">
        <v>710</v>
      </c>
      <c r="K49" s="13">
        <f t="shared" si="3"/>
        <v>9230</v>
      </c>
      <c r="L49" s="11">
        <v>0</v>
      </c>
      <c r="M49" s="13">
        <f t="shared" si="4"/>
        <v>0</v>
      </c>
    </row>
    <row r="50" spans="1:13">
      <c r="A50" s="7" t="s">
        <v>43</v>
      </c>
      <c r="B50" s="7" t="s">
        <v>18</v>
      </c>
      <c r="C50" s="9">
        <v>50</v>
      </c>
      <c r="D50" s="10">
        <v>11</v>
      </c>
      <c r="E50" s="10"/>
      <c r="F50" s="9">
        <f t="shared" si="0"/>
        <v>0</v>
      </c>
      <c r="G50" s="11">
        <f t="shared" si="1"/>
        <v>11</v>
      </c>
      <c r="H50" s="12">
        <v>661.22</v>
      </c>
      <c r="I50" s="13">
        <f t="shared" si="2"/>
        <v>7273.42</v>
      </c>
      <c r="J50" s="14">
        <v>710</v>
      </c>
      <c r="K50" s="13">
        <f t="shared" si="3"/>
        <v>7810</v>
      </c>
      <c r="L50" s="11">
        <v>0</v>
      </c>
      <c r="M50" s="13">
        <f t="shared" si="4"/>
        <v>0</v>
      </c>
    </row>
    <row r="51" spans="1:13">
      <c r="A51" s="7" t="s">
        <v>43</v>
      </c>
      <c r="B51" s="7" t="s">
        <v>19</v>
      </c>
      <c r="C51" s="9">
        <v>50</v>
      </c>
      <c r="D51" s="10"/>
      <c r="E51" s="10"/>
      <c r="F51" s="9">
        <f t="shared" si="0"/>
        <v>0</v>
      </c>
      <c r="G51" s="11">
        <f t="shared" si="1"/>
        <v>0</v>
      </c>
      <c r="H51" s="12">
        <v>661.22</v>
      </c>
      <c r="I51" s="13">
        <f t="shared" si="2"/>
        <v>0</v>
      </c>
      <c r="J51" s="14">
        <v>710</v>
      </c>
      <c r="K51" s="13">
        <f t="shared" si="3"/>
        <v>0</v>
      </c>
      <c r="L51" s="11">
        <v>0</v>
      </c>
      <c r="M51" s="13">
        <f t="shared" si="4"/>
        <v>0</v>
      </c>
    </row>
    <row r="52" spans="1:13">
      <c r="A52" s="7" t="s">
        <v>43</v>
      </c>
      <c r="B52" s="7" t="s">
        <v>20</v>
      </c>
      <c r="C52" s="9">
        <v>50</v>
      </c>
      <c r="D52" s="10"/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v>0</v>
      </c>
      <c r="M52" s="13">
        <f t="shared" si="4"/>
        <v>0</v>
      </c>
    </row>
    <row r="53" spans="1:13">
      <c r="A53" s="7" t="s">
        <v>43</v>
      </c>
      <c r="B53" s="7" t="s">
        <v>21</v>
      </c>
      <c r="C53" s="9">
        <v>50</v>
      </c>
      <c r="D53" s="10"/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v>0</v>
      </c>
      <c r="M53" s="13">
        <f t="shared" si="4"/>
        <v>0</v>
      </c>
    </row>
    <row r="54" spans="1:13">
      <c r="A54" s="7" t="s">
        <v>43</v>
      </c>
      <c r="B54" s="7" t="s">
        <v>44</v>
      </c>
      <c r="C54" s="9">
        <v>85</v>
      </c>
      <c r="D54" s="10">
        <v>3</v>
      </c>
      <c r="E54" s="10"/>
      <c r="F54" s="9">
        <f t="shared" si="0"/>
        <v>0</v>
      </c>
      <c r="G54" s="11">
        <f t="shared" si="1"/>
        <v>3</v>
      </c>
      <c r="H54" s="12">
        <v>797.07</v>
      </c>
      <c r="I54" s="13">
        <f t="shared" si="2"/>
        <v>2391.21</v>
      </c>
      <c r="J54" s="14">
        <v>845</v>
      </c>
      <c r="K54" s="13">
        <f t="shared" si="3"/>
        <v>2535</v>
      </c>
      <c r="L54" s="11">
        <v>0</v>
      </c>
      <c r="M54" s="13">
        <f t="shared" si="4"/>
        <v>0</v>
      </c>
    </row>
    <row r="55" spans="1:13">
      <c r="A55" s="7" t="s">
        <v>45</v>
      </c>
      <c r="B55" s="7" t="s">
        <v>35</v>
      </c>
      <c r="C55" s="9">
        <v>18</v>
      </c>
      <c r="D55" s="10">
        <v>1101</v>
      </c>
      <c r="E55" s="10"/>
      <c r="F55" s="9">
        <f t="shared" si="0"/>
        <v>0</v>
      </c>
      <c r="G55" s="11">
        <f t="shared" si="1"/>
        <v>1101</v>
      </c>
      <c r="H55" s="12">
        <v>160.77000000000001</v>
      </c>
      <c r="I55" s="13">
        <f t="shared" si="2"/>
        <v>177007.77000000002</v>
      </c>
      <c r="J55" s="14">
        <v>175</v>
      </c>
      <c r="K55" s="13">
        <f t="shared" si="3"/>
        <v>192675</v>
      </c>
      <c r="L55" s="11">
        <v>0</v>
      </c>
      <c r="M55" s="13">
        <f t="shared" si="4"/>
        <v>0</v>
      </c>
    </row>
    <row r="56" spans="1:13">
      <c r="A56" s="7" t="s">
        <v>46</v>
      </c>
      <c r="B56" s="7" t="s">
        <v>13</v>
      </c>
      <c r="C56" s="9">
        <v>70</v>
      </c>
      <c r="D56" s="10">
        <v>21</v>
      </c>
      <c r="E56" s="10"/>
      <c r="F56" s="9">
        <f t="shared" si="0"/>
        <v>0</v>
      </c>
      <c r="G56" s="11">
        <f t="shared" si="1"/>
        <v>21</v>
      </c>
      <c r="H56" s="12">
        <v>744.99</v>
      </c>
      <c r="I56" s="13">
        <f t="shared" si="2"/>
        <v>15644.79</v>
      </c>
      <c r="J56" s="14">
        <v>790</v>
      </c>
      <c r="K56" s="13">
        <f t="shared" si="3"/>
        <v>16590</v>
      </c>
      <c r="L56" s="11">
        <v>0</v>
      </c>
      <c r="M56" s="13">
        <f t="shared" si="4"/>
        <v>0</v>
      </c>
    </row>
    <row r="57" spans="1:13">
      <c r="A57" s="7" t="s">
        <v>47</v>
      </c>
      <c r="B57" s="7" t="s">
        <v>29</v>
      </c>
      <c r="C57" s="9">
        <v>30</v>
      </c>
      <c r="D57" s="10"/>
      <c r="E57" s="10"/>
      <c r="F57" s="9">
        <f t="shared" si="0"/>
        <v>0</v>
      </c>
      <c r="G57" s="11">
        <f t="shared" si="1"/>
        <v>0</v>
      </c>
      <c r="H57" s="12">
        <v>316.14999999999998</v>
      </c>
      <c r="I57" s="13">
        <f t="shared" si="2"/>
        <v>0</v>
      </c>
      <c r="J57" s="14">
        <v>336</v>
      </c>
      <c r="K57" s="13">
        <f t="shared" si="3"/>
        <v>0</v>
      </c>
      <c r="L57" s="11">
        <v>0</v>
      </c>
      <c r="M57" s="13">
        <f t="shared" si="4"/>
        <v>0</v>
      </c>
    </row>
    <row r="58" spans="1:13">
      <c r="A58" s="7" t="s">
        <v>48</v>
      </c>
      <c r="B58" s="7" t="s">
        <v>13</v>
      </c>
      <c r="C58" s="9">
        <v>95</v>
      </c>
      <c r="D58" s="10">
        <v>13</v>
      </c>
      <c r="E58" s="10"/>
      <c r="F58" s="9">
        <f t="shared" si="0"/>
        <v>0</v>
      </c>
      <c r="G58" s="11">
        <f t="shared" si="1"/>
        <v>13</v>
      </c>
      <c r="H58" s="12">
        <v>1042.9000000000001</v>
      </c>
      <c r="I58" s="13">
        <f t="shared" si="2"/>
        <v>13557.7</v>
      </c>
      <c r="J58" s="14">
        <v>1105</v>
      </c>
      <c r="K58" s="13">
        <f t="shared" si="3"/>
        <v>14365</v>
      </c>
      <c r="L58" s="11">
        <v>0</v>
      </c>
      <c r="M58" s="13">
        <f t="shared" si="4"/>
        <v>0</v>
      </c>
    </row>
    <row r="59" spans="1:13">
      <c r="A59" s="7" t="s">
        <v>49</v>
      </c>
      <c r="B59" s="7" t="s">
        <v>35</v>
      </c>
      <c r="C59" s="9">
        <v>28</v>
      </c>
      <c r="D59" s="10">
        <v>40</v>
      </c>
      <c r="E59" s="10"/>
      <c r="F59" s="9">
        <f t="shared" si="0"/>
        <v>0</v>
      </c>
      <c r="G59" s="11">
        <f t="shared" si="1"/>
        <v>40</v>
      </c>
      <c r="H59" s="12">
        <v>165.06</v>
      </c>
      <c r="I59" s="13">
        <f t="shared" si="2"/>
        <v>6602.4</v>
      </c>
      <c r="J59" s="14">
        <v>180</v>
      </c>
      <c r="K59" s="13">
        <f t="shared" si="3"/>
        <v>7200</v>
      </c>
      <c r="L59" s="11">
        <v>0</v>
      </c>
      <c r="M59" s="13">
        <f t="shared" si="4"/>
        <v>0</v>
      </c>
    </row>
    <row r="60" spans="1:13">
      <c r="A60" s="7" t="s">
        <v>50</v>
      </c>
      <c r="B60" s="7" t="s">
        <v>17</v>
      </c>
      <c r="C60" s="9">
        <v>70</v>
      </c>
      <c r="D60" s="10"/>
      <c r="E60" s="10"/>
      <c r="F60" s="9">
        <f t="shared" si="0"/>
        <v>0</v>
      </c>
      <c r="G60" s="11">
        <f t="shared" si="1"/>
        <v>0</v>
      </c>
      <c r="H60" s="12">
        <v>721.25</v>
      </c>
      <c r="I60" s="13">
        <f t="shared" si="2"/>
        <v>0</v>
      </c>
      <c r="J60" s="14">
        <v>771</v>
      </c>
      <c r="K60" s="13">
        <f t="shared" si="3"/>
        <v>0</v>
      </c>
      <c r="L60" s="11">
        <v>0</v>
      </c>
      <c r="M60" s="13">
        <f t="shared" si="4"/>
        <v>0</v>
      </c>
    </row>
    <row r="61" spans="1:13">
      <c r="A61" s="7" t="s">
        <v>50</v>
      </c>
      <c r="B61" s="7" t="s">
        <v>18</v>
      </c>
      <c r="C61" s="9">
        <v>70</v>
      </c>
      <c r="D61" s="10"/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v>0</v>
      </c>
      <c r="M61" s="13">
        <f t="shared" si="4"/>
        <v>0</v>
      </c>
    </row>
    <row r="62" spans="1:13">
      <c r="A62" s="7" t="s">
        <v>51</v>
      </c>
      <c r="B62" s="7" t="s">
        <v>17</v>
      </c>
      <c r="C62" s="9">
        <v>100</v>
      </c>
      <c r="D62" s="10">
        <v>215</v>
      </c>
      <c r="E62" s="10"/>
      <c r="F62" s="9">
        <f t="shared" si="0"/>
        <v>0</v>
      </c>
      <c r="G62" s="11">
        <f t="shared" si="1"/>
        <v>215</v>
      </c>
      <c r="H62" s="12">
        <v>790.89</v>
      </c>
      <c r="I62" s="13">
        <f t="shared" si="2"/>
        <v>170041.35</v>
      </c>
      <c r="J62" s="14">
        <v>845</v>
      </c>
      <c r="K62" s="13">
        <f t="shared" si="3"/>
        <v>181675</v>
      </c>
      <c r="L62" s="11">
        <v>0</v>
      </c>
      <c r="M62" s="13">
        <f t="shared" si="4"/>
        <v>0</v>
      </c>
    </row>
    <row r="63" spans="1:13">
      <c r="A63" s="7" t="s">
        <v>51</v>
      </c>
      <c r="B63" s="7" t="s">
        <v>18</v>
      </c>
      <c r="C63" s="9">
        <v>100</v>
      </c>
      <c r="D63" s="10">
        <v>184</v>
      </c>
      <c r="E63" s="10"/>
      <c r="F63" s="9">
        <f t="shared" si="0"/>
        <v>0</v>
      </c>
      <c r="G63" s="11">
        <f t="shared" si="1"/>
        <v>184</v>
      </c>
      <c r="H63" s="12">
        <v>790.89</v>
      </c>
      <c r="I63" s="13">
        <f t="shared" si="2"/>
        <v>145523.76</v>
      </c>
      <c r="J63" s="14">
        <v>845</v>
      </c>
      <c r="K63" s="13">
        <f t="shared" si="3"/>
        <v>155480</v>
      </c>
      <c r="L63" s="11">
        <v>0</v>
      </c>
      <c r="M63" s="13">
        <f t="shared" si="4"/>
        <v>0</v>
      </c>
    </row>
    <row r="64" spans="1:13">
      <c r="A64" s="7" t="s">
        <v>51</v>
      </c>
      <c r="B64" s="7" t="s">
        <v>19</v>
      </c>
      <c r="C64" s="9">
        <v>100</v>
      </c>
      <c r="D64" s="10"/>
      <c r="E64" s="10"/>
      <c r="F64" s="9">
        <f t="shared" si="0"/>
        <v>0</v>
      </c>
      <c r="G64" s="11">
        <f t="shared" si="1"/>
        <v>0</v>
      </c>
      <c r="H64" s="12">
        <v>790.89</v>
      </c>
      <c r="I64" s="13">
        <f t="shared" si="2"/>
        <v>0</v>
      </c>
      <c r="J64" s="14">
        <v>845</v>
      </c>
      <c r="K64" s="13">
        <f t="shared" si="3"/>
        <v>0</v>
      </c>
      <c r="L64" s="11">
        <v>0</v>
      </c>
      <c r="M64" s="13">
        <f t="shared" si="4"/>
        <v>0</v>
      </c>
    </row>
    <row r="65" spans="1:13">
      <c r="A65" s="7" t="s">
        <v>51</v>
      </c>
      <c r="B65" s="7" t="s">
        <v>20</v>
      </c>
      <c r="C65" s="9">
        <v>100</v>
      </c>
      <c r="D65" s="10"/>
      <c r="E65" s="11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v>0</v>
      </c>
      <c r="M65" s="13">
        <f t="shared" si="4"/>
        <v>0</v>
      </c>
    </row>
    <row r="66" spans="1:13">
      <c r="A66" s="7" t="s">
        <v>51</v>
      </c>
      <c r="B66" s="7" t="s">
        <v>21</v>
      </c>
      <c r="C66" s="9">
        <v>100</v>
      </c>
      <c r="D66" s="10"/>
      <c r="E66" s="11"/>
      <c r="F66" s="15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v>0</v>
      </c>
      <c r="M66" s="13">
        <f t="shared" si="4"/>
        <v>0</v>
      </c>
    </row>
    <row r="67" spans="1:13">
      <c r="A67" s="35" t="s">
        <v>52</v>
      </c>
      <c r="B67" s="36"/>
      <c r="C67" s="37"/>
      <c r="D67" s="16">
        <f>SUM(D2:D66)</f>
        <v>4607</v>
      </c>
      <c r="E67" s="17">
        <f>SUM(E2:E66)</f>
        <v>0</v>
      </c>
      <c r="F67" s="18">
        <f>SUM(F2:F66)</f>
        <v>0</v>
      </c>
      <c r="G67" s="17">
        <f>SUM(G2:G66)</f>
        <v>4607</v>
      </c>
      <c r="H67" s="19"/>
      <c r="I67" s="20">
        <f>SUM(I2:I66)</f>
        <v>1700973.2299999997</v>
      </c>
      <c r="J67" s="21">
        <f>SUM(J2:J66)</f>
        <v>39088</v>
      </c>
      <c r="K67" s="22">
        <f>SUM(K2:K66)</f>
        <v>1820284</v>
      </c>
      <c r="L67" s="23">
        <f>SUM(L2:L66)</f>
        <v>0</v>
      </c>
      <c r="M67" s="24">
        <f>SUM(M2:M66)</f>
        <v>0</v>
      </c>
    </row>
    <row r="70" spans="1:13">
      <c r="F70" s="31"/>
    </row>
    <row r="73" spans="1:13">
      <c r="I73" s="33"/>
      <c r="J73" s="32"/>
      <c r="K73" s="33"/>
    </row>
    <row r="74" spans="1:13">
      <c r="I74" s="33"/>
      <c r="J74" s="32"/>
      <c r="K74" s="33"/>
    </row>
    <row r="75" spans="1:13">
      <c r="I75" s="33"/>
      <c r="J75" s="29"/>
      <c r="K75" s="30"/>
    </row>
    <row r="76" spans="1:13">
      <c r="D76" s="25" t="s">
        <v>53</v>
      </c>
      <c r="I76" s="33"/>
      <c r="J76" s="34"/>
      <c r="K76" s="34"/>
    </row>
    <row r="77" spans="1:13">
      <c r="I77" s="33"/>
      <c r="J77" s="32"/>
      <c r="K77" s="33"/>
    </row>
    <row r="78" spans="1:13">
      <c r="F78" s="26"/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</row>
  </sheetData>
  <mergeCells count="1">
    <mergeCell ref="A67:C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80"/>
  <sheetViews>
    <sheetView topLeftCell="A44" workbookViewId="0">
      <selection activeCell="D60" sqref="D60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492</v>
      </c>
      <c r="E2" s="11"/>
      <c r="F2" s="9">
        <f>E2*H2</f>
        <v>0</v>
      </c>
      <c r="G2" s="11">
        <f>D2+E2</f>
        <v>492</v>
      </c>
      <c r="H2" s="12">
        <v>308.13</v>
      </c>
      <c r="I2" s="13">
        <f>H2*D2</f>
        <v>151599.96</v>
      </c>
      <c r="J2" s="14">
        <v>326</v>
      </c>
      <c r="K2" s="13">
        <f>J2*D2</f>
        <v>160392</v>
      </c>
      <c r="L2" s="11">
        <f>G2-'6'!D2</f>
        <v>11</v>
      </c>
      <c r="M2" s="13">
        <f>L2*J2</f>
        <v>3586</v>
      </c>
    </row>
    <row r="3" spans="1:13">
      <c r="A3" s="7" t="s">
        <v>12</v>
      </c>
      <c r="B3" s="8" t="s">
        <v>14</v>
      </c>
      <c r="C3" s="9">
        <v>9</v>
      </c>
      <c r="D3" s="10">
        <v>67</v>
      </c>
      <c r="E3" s="11"/>
      <c r="F3" s="9">
        <f t="shared" ref="F3:F66" si="0">E3*H3</f>
        <v>0</v>
      </c>
      <c r="G3" s="11">
        <f t="shared" ref="G3:G66" si="1">D3+E3</f>
        <v>67</v>
      </c>
      <c r="H3" s="12">
        <v>308.19</v>
      </c>
      <c r="I3" s="13">
        <f t="shared" ref="I3:I66" si="2">H3*D3</f>
        <v>20648.73</v>
      </c>
      <c r="J3" s="14">
        <v>326</v>
      </c>
      <c r="K3" s="13">
        <f t="shared" ref="K3:K66" si="3">J3*D3</f>
        <v>21842</v>
      </c>
      <c r="L3" s="11">
        <f>G3-'6'!D3</f>
        <v>1</v>
      </c>
      <c r="M3" s="13">
        <f t="shared" ref="M3:M66" si="4">L3*J3</f>
        <v>326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f>G4-'6'!D4</f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206</v>
      </c>
      <c r="E5" s="11"/>
      <c r="F5" s="9">
        <f t="shared" si="0"/>
        <v>0</v>
      </c>
      <c r="G5" s="11">
        <f t="shared" si="1"/>
        <v>206</v>
      </c>
      <c r="H5" s="12">
        <v>174.77</v>
      </c>
      <c r="I5" s="13">
        <f t="shared" si="2"/>
        <v>36002.620000000003</v>
      </c>
      <c r="J5" s="14">
        <v>192</v>
      </c>
      <c r="K5" s="13">
        <f t="shared" si="3"/>
        <v>39552</v>
      </c>
      <c r="L5" s="11">
        <f>G5-'6'!D5</f>
        <v>22</v>
      </c>
      <c r="M5" s="13">
        <f t="shared" si="4"/>
        <v>4224</v>
      </c>
    </row>
    <row r="6" spans="1:13">
      <c r="A6" s="7" t="s">
        <v>16</v>
      </c>
      <c r="B6" s="8" t="s">
        <v>18</v>
      </c>
      <c r="C6" s="9">
        <v>10</v>
      </c>
      <c r="D6" s="10">
        <v>206</v>
      </c>
      <c r="E6" s="11"/>
      <c r="F6" s="9">
        <f t="shared" si="0"/>
        <v>0</v>
      </c>
      <c r="G6" s="11">
        <f t="shared" si="1"/>
        <v>206</v>
      </c>
      <c r="H6" s="12">
        <v>174.77</v>
      </c>
      <c r="I6" s="13">
        <f t="shared" si="2"/>
        <v>36002.620000000003</v>
      </c>
      <c r="J6" s="14">
        <v>192</v>
      </c>
      <c r="K6" s="13">
        <f t="shared" si="3"/>
        <v>39552</v>
      </c>
      <c r="L6" s="11">
        <f>G6-'6'!D6</f>
        <v>14</v>
      </c>
      <c r="M6" s="13">
        <f t="shared" si="4"/>
        <v>2688</v>
      </c>
    </row>
    <row r="7" spans="1:13">
      <c r="A7" s="7" t="s">
        <v>16</v>
      </c>
      <c r="B7" s="8" t="s">
        <v>19</v>
      </c>
      <c r="C7" s="9">
        <v>10</v>
      </c>
      <c r="D7" s="10">
        <v>57</v>
      </c>
      <c r="E7" s="11"/>
      <c r="F7" s="9">
        <f t="shared" si="0"/>
        <v>0</v>
      </c>
      <c r="G7" s="11">
        <f t="shared" si="1"/>
        <v>57</v>
      </c>
      <c r="H7" s="12">
        <v>174.77</v>
      </c>
      <c r="I7" s="13">
        <f t="shared" si="2"/>
        <v>9961.8900000000012</v>
      </c>
      <c r="J7" s="14">
        <v>192</v>
      </c>
      <c r="K7" s="13">
        <f t="shared" si="3"/>
        <v>10944</v>
      </c>
      <c r="L7" s="11">
        <f>G7-'6'!D7</f>
        <v>5</v>
      </c>
      <c r="M7" s="13">
        <f t="shared" si="4"/>
        <v>960</v>
      </c>
    </row>
    <row r="8" spans="1:13">
      <c r="A8" s="7" t="s">
        <v>16</v>
      </c>
      <c r="B8" s="8" t="s">
        <v>20</v>
      </c>
      <c r="C8" s="9">
        <v>10</v>
      </c>
      <c r="D8" s="10">
        <v>93</v>
      </c>
      <c r="E8" s="11"/>
      <c r="F8" s="9">
        <f t="shared" si="0"/>
        <v>0</v>
      </c>
      <c r="G8" s="11">
        <f t="shared" si="1"/>
        <v>93</v>
      </c>
      <c r="H8" s="12">
        <v>174.77</v>
      </c>
      <c r="I8" s="13">
        <f t="shared" si="2"/>
        <v>16253.61</v>
      </c>
      <c r="J8" s="14">
        <v>192</v>
      </c>
      <c r="K8" s="13">
        <f t="shared" si="3"/>
        <v>17856</v>
      </c>
      <c r="L8" s="11">
        <f>G8-'6'!D8</f>
        <v>10</v>
      </c>
      <c r="M8" s="13">
        <f t="shared" si="4"/>
        <v>1920</v>
      </c>
    </row>
    <row r="9" spans="1:13">
      <c r="A9" s="7" t="s">
        <v>16</v>
      </c>
      <c r="B9" s="8" t="s">
        <v>21</v>
      </c>
      <c r="C9" s="9">
        <v>10</v>
      </c>
      <c r="D9" s="10">
        <v>200</v>
      </c>
      <c r="E9" s="11"/>
      <c r="F9" s="9">
        <f t="shared" si="0"/>
        <v>0</v>
      </c>
      <c r="G9" s="11">
        <f t="shared" si="1"/>
        <v>200</v>
      </c>
      <c r="H9" s="12">
        <v>174.77</v>
      </c>
      <c r="I9" s="13">
        <f t="shared" si="2"/>
        <v>34954</v>
      </c>
      <c r="J9" s="14">
        <v>192</v>
      </c>
      <c r="K9" s="13">
        <f t="shared" si="3"/>
        <v>38400</v>
      </c>
      <c r="L9" s="11">
        <f>G9-'6'!D9</f>
        <v>20</v>
      </c>
      <c r="M9" s="13">
        <f t="shared" si="4"/>
        <v>3840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f>G10-'6'!D10</f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39</v>
      </c>
      <c r="E11" s="11"/>
      <c r="F11" s="9">
        <f t="shared" si="0"/>
        <v>0</v>
      </c>
      <c r="G11" s="11">
        <f t="shared" si="1"/>
        <v>39</v>
      </c>
      <c r="H11" s="12">
        <v>470.8</v>
      </c>
      <c r="I11" s="13">
        <f t="shared" si="2"/>
        <v>18361.2</v>
      </c>
      <c r="J11" s="14">
        <v>505</v>
      </c>
      <c r="K11" s="13">
        <f t="shared" si="3"/>
        <v>19695</v>
      </c>
      <c r="L11" s="11">
        <f>G11-'6'!D11</f>
        <v>2</v>
      </c>
      <c r="M11" s="13">
        <f t="shared" si="4"/>
        <v>1010</v>
      </c>
    </row>
    <row r="12" spans="1:13">
      <c r="A12" s="7" t="s">
        <v>22</v>
      </c>
      <c r="B12" s="8" t="s">
        <v>17</v>
      </c>
      <c r="C12" s="9">
        <v>20</v>
      </c>
      <c r="D12" s="10">
        <v>484</v>
      </c>
      <c r="E12" s="11"/>
      <c r="F12" s="9">
        <f>E12*H12</f>
        <v>0</v>
      </c>
      <c r="G12" s="11">
        <f t="shared" si="1"/>
        <v>484</v>
      </c>
      <c r="H12" s="12">
        <v>475.77</v>
      </c>
      <c r="I12" s="13">
        <f t="shared" si="2"/>
        <v>230272.68</v>
      </c>
      <c r="J12" s="14">
        <v>505</v>
      </c>
      <c r="K12" s="13">
        <f t="shared" si="3"/>
        <v>244420</v>
      </c>
      <c r="L12" s="11">
        <f>G12-'6'!D12</f>
        <v>71</v>
      </c>
      <c r="M12" s="13">
        <f t="shared" si="4"/>
        <v>35855</v>
      </c>
    </row>
    <row r="13" spans="1:13">
      <c r="A13" s="7" t="s">
        <v>22</v>
      </c>
      <c r="B13" s="8" t="s">
        <v>18</v>
      </c>
      <c r="C13" s="9">
        <v>20</v>
      </c>
      <c r="D13" s="10">
        <v>317</v>
      </c>
      <c r="E13" s="11"/>
      <c r="F13" s="9">
        <f t="shared" si="0"/>
        <v>0</v>
      </c>
      <c r="G13" s="11">
        <f t="shared" si="1"/>
        <v>317</v>
      </c>
      <c r="H13" s="12">
        <v>475.77</v>
      </c>
      <c r="I13" s="13">
        <f t="shared" si="2"/>
        <v>150819.09</v>
      </c>
      <c r="J13" s="14">
        <v>505</v>
      </c>
      <c r="K13" s="13">
        <f t="shared" si="3"/>
        <v>160085</v>
      </c>
      <c r="L13" s="11">
        <f>G13-'6'!D13</f>
        <v>39</v>
      </c>
      <c r="M13" s="13">
        <f t="shared" si="4"/>
        <v>19695</v>
      </c>
    </row>
    <row r="14" spans="1:13">
      <c r="A14" s="7" t="s">
        <v>22</v>
      </c>
      <c r="B14" s="8" t="s">
        <v>19</v>
      </c>
      <c r="C14" s="9">
        <v>20</v>
      </c>
      <c r="D14" s="10">
        <v>54</v>
      </c>
      <c r="E14" s="11"/>
      <c r="F14" s="9">
        <f t="shared" si="0"/>
        <v>0</v>
      </c>
      <c r="G14" s="11">
        <f t="shared" si="1"/>
        <v>54</v>
      </c>
      <c r="H14" s="12">
        <v>470.8</v>
      </c>
      <c r="I14" s="13">
        <f t="shared" si="2"/>
        <v>25423.200000000001</v>
      </c>
      <c r="J14" s="14">
        <v>505</v>
      </c>
      <c r="K14" s="13">
        <f t="shared" si="3"/>
        <v>27270</v>
      </c>
      <c r="L14" s="11">
        <f>G14-'6'!D14</f>
        <v>8</v>
      </c>
      <c r="M14" s="13">
        <f t="shared" si="4"/>
        <v>4040</v>
      </c>
    </row>
    <row r="15" spans="1:13">
      <c r="A15" s="7" t="s">
        <v>22</v>
      </c>
      <c r="B15" s="8" t="s">
        <v>20</v>
      </c>
      <c r="C15" s="9">
        <v>20</v>
      </c>
      <c r="D15" s="10">
        <v>49</v>
      </c>
      <c r="E15" s="11"/>
      <c r="F15" s="9">
        <f t="shared" si="0"/>
        <v>0</v>
      </c>
      <c r="G15" s="11">
        <f t="shared" si="1"/>
        <v>49</v>
      </c>
      <c r="H15" s="12">
        <v>470.8</v>
      </c>
      <c r="I15" s="13">
        <f t="shared" si="2"/>
        <v>23069.200000000001</v>
      </c>
      <c r="J15" s="14">
        <v>505</v>
      </c>
      <c r="K15" s="13">
        <f t="shared" si="3"/>
        <v>24745</v>
      </c>
      <c r="L15" s="11">
        <f>G15-'6'!D15</f>
        <v>2</v>
      </c>
      <c r="M15" s="13">
        <f t="shared" si="4"/>
        <v>1010</v>
      </c>
    </row>
    <row r="16" spans="1:13">
      <c r="A16" s="7" t="s">
        <v>22</v>
      </c>
      <c r="B16" s="8" t="s">
        <v>21</v>
      </c>
      <c r="C16" s="9">
        <v>20</v>
      </c>
      <c r="D16" s="10"/>
      <c r="E16" s="11"/>
      <c r="F16" s="9">
        <f t="shared" si="0"/>
        <v>0</v>
      </c>
      <c r="G16" s="11">
        <f t="shared" si="1"/>
        <v>0</v>
      </c>
      <c r="H16" s="12">
        <v>470.8</v>
      </c>
      <c r="I16" s="13">
        <f t="shared" si="2"/>
        <v>0</v>
      </c>
      <c r="J16" s="14">
        <v>505</v>
      </c>
      <c r="K16" s="13">
        <f t="shared" si="3"/>
        <v>0</v>
      </c>
      <c r="L16" s="11">
        <f>G16-'6'!D16</f>
        <v>0</v>
      </c>
      <c r="M16" s="13">
        <f t="shared" si="4"/>
        <v>0</v>
      </c>
    </row>
    <row r="17" spans="1:13">
      <c r="A17" s="7" t="s">
        <v>22</v>
      </c>
      <c r="B17" s="8" t="s">
        <v>29</v>
      </c>
      <c r="C17" s="9">
        <v>11</v>
      </c>
      <c r="D17" s="10">
        <v>87</v>
      </c>
      <c r="E17" s="11"/>
      <c r="F17" s="9">
        <f t="shared" si="0"/>
        <v>0</v>
      </c>
      <c r="G17" s="11">
        <f t="shared" si="1"/>
        <v>87</v>
      </c>
      <c r="H17" s="12">
        <v>235.59</v>
      </c>
      <c r="I17" s="13">
        <f t="shared" si="2"/>
        <v>20496.330000000002</v>
      </c>
      <c r="J17" s="14">
        <v>250</v>
      </c>
      <c r="K17" s="13">
        <f t="shared" si="3"/>
        <v>21750</v>
      </c>
      <c r="L17" s="11">
        <f>G17-'6'!D17</f>
        <v>7</v>
      </c>
      <c r="M17" s="13">
        <f t="shared" si="4"/>
        <v>1750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f>G18-'6'!D18</f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/>
      <c r="E19" s="11"/>
      <c r="F19" s="9">
        <f t="shared" si="0"/>
        <v>0</v>
      </c>
      <c r="G19" s="11">
        <f t="shared" si="1"/>
        <v>0</v>
      </c>
      <c r="H19" s="12">
        <v>204</v>
      </c>
      <c r="I19" s="13">
        <f t="shared" si="2"/>
        <v>0</v>
      </c>
      <c r="J19" s="14">
        <v>230</v>
      </c>
      <c r="K19" s="13">
        <f t="shared" si="3"/>
        <v>0</v>
      </c>
      <c r="L19" s="11">
        <f>G19-'6'!D19</f>
        <v>0</v>
      </c>
      <c r="M19" s="13">
        <f t="shared" si="4"/>
        <v>0</v>
      </c>
    </row>
    <row r="20" spans="1:13">
      <c r="A20" s="7" t="s">
        <v>22</v>
      </c>
      <c r="B20" s="8" t="s">
        <v>25</v>
      </c>
      <c r="C20" s="9">
        <v>10</v>
      </c>
      <c r="D20" s="10"/>
      <c r="E20" s="11"/>
      <c r="F20" s="9">
        <f t="shared" si="0"/>
        <v>0</v>
      </c>
      <c r="G20" s="11">
        <f t="shared" si="1"/>
        <v>0</v>
      </c>
      <c r="H20" s="12">
        <v>204</v>
      </c>
      <c r="I20" s="13">
        <f>H20*D20</f>
        <v>0</v>
      </c>
      <c r="J20" s="14">
        <v>230</v>
      </c>
      <c r="K20" s="13">
        <f t="shared" si="3"/>
        <v>0</v>
      </c>
      <c r="L20" s="11">
        <f>G20-'6'!D20</f>
        <v>0</v>
      </c>
      <c r="M20" s="13">
        <f t="shared" si="4"/>
        <v>0</v>
      </c>
    </row>
    <row r="21" spans="1:13">
      <c r="A21" s="7" t="s">
        <v>22</v>
      </c>
      <c r="B21" s="8" t="s">
        <v>26</v>
      </c>
      <c r="C21" s="9">
        <v>10</v>
      </c>
      <c r="D21" s="10">
        <v>30</v>
      </c>
      <c r="E21" s="11"/>
      <c r="F21" s="9">
        <f t="shared" si="0"/>
        <v>0</v>
      </c>
      <c r="G21" s="11">
        <f t="shared" si="1"/>
        <v>30</v>
      </c>
      <c r="H21" s="12">
        <v>204</v>
      </c>
      <c r="I21" s="13">
        <f t="shared" si="2"/>
        <v>6120</v>
      </c>
      <c r="J21" s="14">
        <v>230</v>
      </c>
      <c r="K21" s="13">
        <f t="shared" si="3"/>
        <v>6900</v>
      </c>
      <c r="L21" s="11">
        <f>G21-'6'!D21</f>
        <v>1</v>
      </c>
      <c r="M21" s="13">
        <f t="shared" si="4"/>
        <v>230</v>
      </c>
    </row>
    <row r="22" spans="1:13">
      <c r="A22" s="7" t="s">
        <v>22</v>
      </c>
      <c r="B22" s="8" t="s">
        <v>13</v>
      </c>
      <c r="C22" s="9">
        <v>19</v>
      </c>
      <c r="D22" s="10">
        <v>77</v>
      </c>
      <c r="E22" s="11"/>
      <c r="F22" s="9">
        <f t="shared" si="0"/>
        <v>0</v>
      </c>
      <c r="G22" s="11">
        <f t="shared" si="1"/>
        <v>77</v>
      </c>
      <c r="H22" s="12">
        <v>474.46</v>
      </c>
      <c r="I22" s="13">
        <f t="shared" si="2"/>
        <v>36533.42</v>
      </c>
      <c r="J22" s="14">
        <v>505</v>
      </c>
      <c r="K22" s="13">
        <f t="shared" si="3"/>
        <v>38885</v>
      </c>
      <c r="L22" s="11">
        <f>G22-'6'!D22</f>
        <v>26</v>
      </c>
      <c r="M22" s="13">
        <f t="shared" si="4"/>
        <v>13130</v>
      </c>
    </row>
    <row r="23" spans="1:13">
      <c r="A23" s="7" t="s">
        <v>22</v>
      </c>
      <c r="B23" s="8" t="s">
        <v>27</v>
      </c>
      <c r="C23" s="9">
        <v>24</v>
      </c>
      <c r="D23" s="10">
        <v>67</v>
      </c>
      <c r="E23" s="11"/>
      <c r="F23" s="9">
        <f t="shared" si="0"/>
        <v>0</v>
      </c>
      <c r="G23" s="11">
        <f t="shared" si="1"/>
        <v>67</v>
      </c>
      <c r="H23" s="12">
        <v>593.91999999999996</v>
      </c>
      <c r="I23" s="13">
        <f t="shared" si="2"/>
        <v>39792.639999999999</v>
      </c>
      <c r="J23" s="14">
        <v>630</v>
      </c>
      <c r="K23" s="13">
        <f t="shared" si="3"/>
        <v>42210</v>
      </c>
      <c r="L23" s="11">
        <f>G23-'6'!D23</f>
        <v>18</v>
      </c>
      <c r="M23" s="13">
        <f t="shared" si="4"/>
        <v>11340</v>
      </c>
    </row>
    <row r="24" spans="1:13">
      <c r="A24" s="7" t="s">
        <v>30</v>
      </c>
      <c r="B24" s="8" t="s">
        <v>17</v>
      </c>
      <c r="C24" s="9">
        <v>25</v>
      </c>
      <c r="D24" s="10">
        <v>63</v>
      </c>
      <c r="E24" s="10"/>
      <c r="F24" s="9">
        <f t="shared" si="0"/>
        <v>0</v>
      </c>
      <c r="G24" s="11">
        <f t="shared" si="1"/>
        <v>63</v>
      </c>
      <c r="H24" s="12">
        <v>453.3</v>
      </c>
      <c r="I24" s="13">
        <f t="shared" si="2"/>
        <v>28557.9</v>
      </c>
      <c r="J24" s="14">
        <v>493</v>
      </c>
      <c r="K24" s="13">
        <f t="shared" si="3"/>
        <v>31059</v>
      </c>
      <c r="L24" s="11">
        <f>G24-'6'!D24</f>
        <v>0</v>
      </c>
      <c r="M24" s="13">
        <f t="shared" si="4"/>
        <v>0</v>
      </c>
    </row>
    <row r="25" spans="1:13">
      <c r="A25" s="7" t="s">
        <v>30</v>
      </c>
      <c r="B25" s="8" t="s">
        <v>18</v>
      </c>
      <c r="C25" s="9">
        <v>25</v>
      </c>
      <c r="D25" s="10">
        <v>54</v>
      </c>
      <c r="E25" s="10"/>
      <c r="F25" s="9">
        <f t="shared" si="0"/>
        <v>0</v>
      </c>
      <c r="G25" s="11">
        <f t="shared" si="1"/>
        <v>54</v>
      </c>
      <c r="H25" s="12">
        <v>453.3</v>
      </c>
      <c r="I25" s="13">
        <f t="shared" si="2"/>
        <v>24478.2</v>
      </c>
      <c r="J25" s="14">
        <v>493</v>
      </c>
      <c r="K25" s="13">
        <f t="shared" si="3"/>
        <v>26622</v>
      </c>
      <c r="L25" s="11">
        <f>G25-'6'!D25</f>
        <v>0</v>
      </c>
      <c r="M25" s="13">
        <f t="shared" si="4"/>
        <v>0</v>
      </c>
    </row>
    <row r="26" spans="1:13">
      <c r="A26" s="7" t="s">
        <v>30</v>
      </c>
      <c r="B26" s="8" t="s">
        <v>20</v>
      </c>
      <c r="C26" s="9">
        <v>25</v>
      </c>
      <c r="D26" s="10"/>
      <c r="E26" s="10"/>
      <c r="F26" s="9">
        <f t="shared" si="0"/>
        <v>0</v>
      </c>
      <c r="G26" s="11">
        <f t="shared" si="1"/>
        <v>0</v>
      </c>
      <c r="H26" s="12">
        <v>453.3</v>
      </c>
      <c r="I26" s="13">
        <f t="shared" si="2"/>
        <v>0</v>
      </c>
      <c r="J26" s="14">
        <v>493</v>
      </c>
      <c r="K26" s="13">
        <f t="shared" si="3"/>
        <v>0</v>
      </c>
      <c r="L26" s="11">
        <f>G26-'6'!D26</f>
        <v>0</v>
      </c>
      <c r="M26" s="13">
        <f t="shared" si="4"/>
        <v>0</v>
      </c>
    </row>
    <row r="27" spans="1:13">
      <c r="A27" s="7" t="s">
        <v>30</v>
      </c>
      <c r="B27" s="8" t="s">
        <v>21</v>
      </c>
      <c r="C27" s="9">
        <v>25</v>
      </c>
      <c r="D27" s="10"/>
      <c r="E27" s="10"/>
      <c r="F27" s="9">
        <f t="shared" si="0"/>
        <v>0</v>
      </c>
      <c r="G27" s="11">
        <f t="shared" si="1"/>
        <v>0</v>
      </c>
      <c r="H27" s="12">
        <v>453.3</v>
      </c>
      <c r="I27" s="13">
        <f t="shared" si="2"/>
        <v>0</v>
      </c>
      <c r="J27" s="14">
        <v>493</v>
      </c>
      <c r="K27" s="13">
        <f t="shared" si="3"/>
        <v>0</v>
      </c>
      <c r="L27" s="11">
        <f>G27-'6'!D27</f>
        <v>0</v>
      </c>
      <c r="M27" s="13">
        <f t="shared" si="4"/>
        <v>0</v>
      </c>
    </row>
    <row r="28" spans="1:13">
      <c r="A28" s="7" t="s">
        <v>31</v>
      </c>
      <c r="B28" s="7" t="s">
        <v>17</v>
      </c>
      <c r="C28" s="9">
        <v>40</v>
      </c>
      <c r="D28" s="10"/>
      <c r="E28" s="10"/>
      <c r="F28" s="9">
        <f t="shared" si="0"/>
        <v>0</v>
      </c>
      <c r="G28" s="11">
        <f t="shared" si="1"/>
        <v>0</v>
      </c>
      <c r="H28" s="12">
        <v>821.36</v>
      </c>
      <c r="I28" s="13">
        <f t="shared" si="2"/>
        <v>0</v>
      </c>
      <c r="J28" s="14">
        <v>878</v>
      </c>
      <c r="K28" s="13">
        <f t="shared" si="3"/>
        <v>0</v>
      </c>
      <c r="L28" s="11">
        <f>G28-'6'!D28</f>
        <v>0</v>
      </c>
      <c r="M28" s="13">
        <f t="shared" si="4"/>
        <v>0</v>
      </c>
    </row>
    <row r="29" spans="1:13">
      <c r="A29" s="7" t="s">
        <v>31</v>
      </c>
      <c r="B29" s="7" t="s">
        <v>18</v>
      </c>
      <c r="C29" s="9">
        <v>40</v>
      </c>
      <c r="D29" s="10"/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f>G29-'6'!D29</f>
        <v>0</v>
      </c>
      <c r="M29" s="13">
        <f t="shared" si="4"/>
        <v>0</v>
      </c>
    </row>
    <row r="30" spans="1:13">
      <c r="A30" s="7" t="s">
        <v>31</v>
      </c>
      <c r="B30" s="7" t="s">
        <v>19</v>
      </c>
      <c r="C30" s="9">
        <v>40</v>
      </c>
      <c r="D30" s="10"/>
      <c r="E30" s="10"/>
      <c r="F30" s="9">
        <f t="shared" si="0"/>
        <v>0</v>
      </c>
      <c r="G30" s="11">
        <f t="shared" si="1"/>
        <v>0</v>
      </c>
      <c r="H30" s="12">
        <v>817.58</v>
      </c>
      <c r="I30" s="13">
        <f t="shared" si="2"/>
        <v>0</v>
      </c>
      <c r="J30" s="14">
        <v>878</v>
      </c>
      <c r="K30" s="13">
        <f t="shared" si="3"/>
        <v>0</v>
      </c>
      <c r="L30" s="11">
        <f>G30-'6'!D30</f>
        <v>0</v>
      </c>
      <c r="M30" s="13">
        <f t="shared" si="4"/>
        <v>0</v>
      </c>
    </row>
    <row r="31" spans="1:13">
      <c r="A31" s="7" t="s">
        <v>31</v>
      </c>
      <c r="B31" s="7" t="s">
        <v>20</v>
      </c>
      <c r="C31" s="9">
        <v>40</v>
      </c>
      <c r="D31" s="10"/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f>G31-'6'!D31</f>
        <v>0</v>
      </c>
      <c r="M31" s="13">
        <f t="shared" si="4"/>
        <v>0</v>
      </c>
    </row>
    <row r="32" spans="1:13">
      <c r="A32" s="7" t="s">
        <v>31</v>
      </c>
      <c r="B32" s="7" t="s">
        <v>21</v>
      </c>
      <c r="C32" s="9">
        <v>40</v>
      </c>
      <c r="D32" s="10"/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f>G32-'6'!D32</f>
        <v>0</v>
      </c>
      <c r="M32" s="13">
        <f t="shared" si="4"/>
        <v>0</v>
      </c>
    </row>
    <row r="33" spans="1:13">
      <c r="A33" s="7" t="s">
        <v>31</v>
      </c>
      <c r="B33" s="7" t="s">
        <v>32</v>
      </c>
      <c r="C33" s="9">
        <v>40</v>
      </c>
      <c r="D33" s="10"/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f>G33-'6'!D33</f>
        <v>0</v>
      </c>
      <c r="M33" s="13">
        <f t="shared" si="4"/>
        <v>0</v>
      </c>
    </row>
    <row r="34" spans="1:13">
      <c r="A34" s="7" t="s">
        <v>31</v>
      </c>
      <c r="B34" s="7" t="s">
        <v>33</v>
      </c>
      <c r="C34" s="9">
        <v>60</v>
      </c>
      <c r="D34" s="10">
        <v>46</v>
      </c>
      <c r="E34" s="10"/>
      <c r="F34" s="9">
        <f t="shared" si="0"/>
        <v>0</v>
      </c>
      <c r="G34" s="11">
        <f t="shared" si="1"/>
        <v>46</v>
      </c>
      <c r="H34" s="12">
        <v>1042.6500000000001</v>
      </c>
      <c r="I34" s="13">
        <f t="shared" si="2"/>
        <v>47961.9</v>
      </c>
      <c r="J34" s="14">
        <v>1110</v>
      </c>
      <c r="K34" s="13">
        <f t="shared" si="3"/>
        <v>51060</v>
      </c>
      <c r="L34" s="11">
        <f>G34-'6'!D34</f>
        <v>16</v>
      </c>
      <c r="M34" s="13">
        <f t="shared" si="4"/>
        <v>17760</v>
      </c>
    </row>
    <row r="35" spans="1:13">
      <c r="A35" s="7" t="s">
        <v>34</v>
      </c>
      <c r="B35" s="7" t="s">
        <v>35</v>
      </c>
      <c r="C35" s="9">
        <v>7</v>
      </c>
      <c r="D35" s="10">
        <v>15</v>
      </c>
      <c r="E35" s="10"/>
      <c r="F35" s="9">
        <f t="shared" si="0"/>
        <v>0</v>
      </c>
      <c r="G35" s="11">
        <f t="shared" si="1"/>
        <v>15</v>
      </c>
      <c r="H35" s="12">
        <v>126.24</v>
      </c>
      <c r="I35" s="13">
        <f t="shared" si="2"/>
        <v>1893.6</v>
      </c>
      <c r="J35" s="14">
        <v>140</v>
      </c>
      <c r="K35" s="13">
        <f t="shared" si="3"/>
        <v>2100</v>
      </c>
      <c r="L35" s="11">
        <f>G35-'6'!D35</f>
        <v>0</v>
      </c>
      <c r="M35" s="13">
        <f t="shared" si="4"/>
        <v>0</v>
      </c>
    </row>
    <row r="36" spans="1:13">
      <c r="A36" s="7" t="s">
        <v>36</v>
      </c>
      <c r="B36" s="7" t="s">
        <v>37</v>
      </c>
      <c r="C36" s="9">
        <v>125</v>
      </c>
      <c r="D36" s="10">
        <v>21</v>
      </c>
      <c r="E36" s="10"/>
      <c r="F36" s="9">
        <f t="shared" si="0"/>
        <v>0</v>
      </c>
      <c r="G36" s="11">
        <f t="shared" si="1"/>
        <v>21</v>
      </c>
      <c r="H36" s="12">
        <v>2050.54</v>
      </c>
      <c r="I36" s="13">
        <f t="shared" si="2"/>
        <v>43061.34</v>
      </c>
      <c r="J36" s="14">
        <v>2175</v>
      </c>
      <c r="K36" s="13">
        <f t="shared" si="3"/>
        <v>45675</v>
      </c>
      <c r="L36" s="11">
        <f>G36-'6'!D36</f>
        <v>5</v>
      </c>
      <c r="M36" s="13">
        <f t="shared" si="4"/>
        <v>10875</v>
      </c>
    </row>
    <row r="37" spans="1:13">
      <c r="A37" s="7" t="s">
        <v>38</v>
      </c>
      <c r="B37" s="7" t="s">
        <v>17</v>
      </c>
      <c r="C37" s="9">
        <v>20</v>
      </c>
      <c r="D37" s="10">
        <v>2</v>
      </c>
      <c r="E37" s="10"/>
      <c r="F37" s="9">
        <f t="shared" si="0"/>
        <v>0</v>
      </c>
      <c r="G37" s="11">
        <f t="shared" si="1"/>
        <v>2</v>
      </c>
      <c r="H37" s="12">
        <v>399.19</v>
      </c>
      <c r="I37" s="13">
        <f t="shared" si="2"/>
        <v>798.38</v>
      </c>
      <c r="J37" s="14">
        <v>420</v>
      </c>
      <c r="K37" s="13">
        <f t="shared" si="3"/>
        <v>840</v>
      </c>
      <c r="L37" s="11">
        <f>G37-'6'!D37</f>
        <v>0</v>
      </c>
      <c r="M37" s="13">
        <f t="shared" si="4"/>
        <v>0</v>
      </c>
    </row>
    <row r="38" spans="1:13">
      <c r="A38" s="7" t="s">
        <v>38</v>
      </c>
      <c r="B38" s="7" t="s">
        <v>18</v>
      </c>
      <c r="C38" s="9">
        <v>20</v>
      </c>
      <c r="D38" s="10"/>
      <c r="E38" s="10"/>
      <c r="F38" s="9">
        <f t="shared" si="0"/>
        <v>0</v>
      </c>
      <c r="G38" s="11">
        <f t="shared" si="1"/>
        <v>0</v>
      </c>
      <c r="H38" s="12">
        <v>399.19</v>
      </c>
      <c r="I38" s="13">
        <f t="shared" si="2"/>
        <v>0</v>
      </c>
      <c r="J38" s="14">
        <v>420</v>
      </c>
      <c r="K38" s="13">
        <f t="shared" si="3"/>
        <v>0</v>
      </c>
      <c r="L38" s="11">
        <f>G38-'6'!D38</f>
        <v>0</v>
      </c>
      <c r="M38" s="13">
        <f t="shared" si="4"/>
        <v>0</v>
      </c>
    </row>
    <row r="39" spans="1:13">
      <c r="A39" s="7" t="s">
        <v>38</v>
      </c>
      <c r="B39" s="7" t="s">
        <v>21</v>
      </c>
      <c r="C39" s="9">
        <v>20</v>
      </c>
      <c r="D39" s="10"/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f>G39-'6'!D39</f>
        <v>0</v>
      </c>
      <c r="M39" s="13">
        <f t="shared" si="4"/>
        <v>0</v>
      </c>
    </row>
    <row r="40" spans="1:13">
      <c r="A40" s="7" t="s">
        <v>39</v>
      </c>
      <c r="B40" s="7" t="s">
        <v>35</v>
      </c>
      <c r="C40" s="9">
        <v>9</v>
      </c>
      <c r="D40" s="10">
        <v>73</v>
      </c>
      <c r="E40" s="10"/>
      <c r="F40" s="9">
        <f t="shared" si="0"/>
        <v>0</v>
      </c>
      <c r="G40" s="11">
        <f t="shared" si="1"/>
        <v>73</v>
      </c>
      <c r="H40" s="12">
        <v>174.19</v>
      </c>
      <c r="I40" s="13">
        <f t="shared" si="2"/>
        <v>12715.869999999999</v>
      </c>
      <c r="J40" s="14">
        <v>185</v>
      </c>
      <c r="K40" s="13">
        <f t="shared" si="3"/>
        <v>13505</v>
      </c>
      <c r="L40" s="11">
        <f>G40-'6'!D40</f>
        <v>0</v>
      </c>
      <c r="M40" s="13">
        <f t="shared" si="4"/>
        <v>0</v>
      </c>
    </row>
    <row r="41" spans="1:13">
      <c r="A41" s="7" t="s">
        <v>40</v>
      </c>
      <c r="B41" s="7" t="s">
        <v>13</v>
      </c>
      <c r="C41" s="9">
        <v>35</v>
      </c>
      <c r="D41" s="10">
        <v>31</v>
      </c>
      <c r="E41" s="10"/>
      <c r="F41" s="9">
        <f t="shared" si="0"/>
        <v>0</v>
      </c>
      <c r="G41" s="11">
        <f t="shared" si="1"/>
        <v>31</v>
      </c>
      <c r="H41" s="12">
        <v>748.13</v>
      </c>
      <c r="I41" s="13">
        <f t="shared" si="2"/>
        <v>23192.03</v>
      </c>
      <c r="J41" s="14">
        <v>795</v>
      </c>
      <c r="K41" s="13">
        <f t="shared" si="3"/>
        <v>24645</v>
      </c>
      <c r="L41" s="11">
        <f>G41-'6'!D41</f>
        <v>2</v>
      </c>
      <c r="M41" s="13">
        <f t="shared" si="4"/>
        <v>1590</v>
      </c>
    </row>
    <row r="42" spans="1:13">
      <c r="A42" s="7" t="s">
        <v>41</v>
      </c>
      <c r="B42" s="7" t="s">
        <v>17</v>
      </c>
      <c r="C42" s="9">
        <v>40</v>
      </c>
      <c r="D42" s="10">
        <v>27</v>
      </c>
      <c r="E42" s="10"/>
      <c r="F42" s="9">
        <f t="shared" si="0"/>
        <v>0</v>
      </c>
      <c r="G42" s="11">
        <f t="shared" si="1"/>
        <v>27</v>
      </c>
      <c r="H42" s="12">
        <v>842.86</v>
      </c>
      <c r="I42" s="13">
        <f t="shared" si="2"/>
        <v>22757.22</v>
      </c>
      <c r="J42" s="14">
        <v>900</v>
      </c>
      <c r="K42" s="13">
        <f t="shared" si="3"/>
        <v>24300</v>
      </c>
      <c r="L42" s="11">
        <f>G42-'6'!D42</f>
        <v>7</v>
      </c>
      <c r="M42" s="13">
        <f t="shared" si="4"/>
        <v>6300</v>
      </c>
    </row>
    <row r="43" spans="1:13">
      <c r="A43" s="7" t="s">
        <v>41</v>
      </c>
      <c r="B43" s="7" t="s">
        <v>18</v>
      </c>
      <c r="C43" s="9">
        <v>40</v>
      </c>
      <c r="D43" s="10">
        <v>33</v>
      </c>
      <c r="E43" s="10"/>
      <c r="F43" s="9">
        <f t="shared" si="0"/>
        <v>0</v>
      </c>
      <c r="G43" s="11">
        <f t="shared" si="1"/>
        <v>33</v>
      </c>
      <c r="H43" s="12">
        <v>842.86</v>
      </c>
      <c r="I43" s="13">
        <f t="shared" si="2"/>
        <v>27814.38</v>
      </c>
      <c r="J43" s="14">
        <v>900</v>
      </c>
      <c r="K43" s="13">
        <f t="shared" si="3"/>
        <v>29700</v>
      </c>
      <c r="L43" s="11">
        <f>G43-'6'!D43</f>
        <v>2</v>
      </c>
      <c r="M43" s="13">
        <f t="shared" si="4"/>
        <v>1800</v>
      </c>
    </row>
    <row r="44" spans="1:13">
      <c r="A44" s="7" t="s">
        <v>41</v>
      </c>
      <c r="B44" s="7" t="s">
        <v>19</v>
      </c>
      <c r="C44" s="9">
        <v>40</v>
      </c>
      <c r="D44" s="10"/>
      <c r="E44" s="10"/>
      <c r="F44" s="9">
        <f t="shared" si="0"/>
        <v>0</v>
      </c>
      <c r="G44" s="11">
        <f t="shared" si="1"/>
        <v>0</v>
      </c>
      <c r="H44" s="12">
        <v>839.68</v>
      </c>
      <c r="I44" s="13">
        <f t="shared" si="2"/>
        <v>0</v>
      </c>
      <c r="J44" s="14">
        <v>900</v>
      </c>
      <c r="K44" s="13">
        <f t="shared" si="3"/>
        <v>0</v>
      </c>
      <c r="L44" s="11">
        <f>G44-'6'!D44</f>
        <v>0</v>
      </c>
      <c r="M44" s="13">
        <f t="shared" si="4"/>
        <v>0</v>
      </c>
    </row>
    <row r="45" spans="1:13">
      <c r="A45" s="7" t="s">
        <v>41</v>
      </c>
      <c r="B45" s="7" t="s">
        <v>20</v>
      </c>
      <c r="C45" s="9">
        <v>40</v>
      </c>
      <c r="D45" s="10"/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f>G45-'6'!D45</f>
        <v>0</v>
      </c>
      <c r="M45" s="13">
        <f t="shared" si="4"/>
        <v>0</v>
      </c>
    </row>
    <row r="46" spans="1:13">
      <c r="A46" s="7" t="s">
        <v>41</v>
      </c>
      <c r="B46" s="7" t="s">
        <v>21</v>
      </c>
      <c r="C46" s="9">
        <v>40</v>
      </c>
      <c r="D46" s="10"/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f>G46-'6'!D46</f>
        <v>0</v>
      </c>
      <c r="M46" s="13">
        <f t="shared" si="4"/>
        <v>0</v>
      </c>
    </row>
    <row r="47" spans="1:13">
      <c r="A47" s="7" t="s">
        <v>42</v>
      </c>
      <c r="B47" s="7" t="s">
        <v>29</v>
      </c>
      <c r="C47" s="9">
        <v>18</v>
      </c>
      <c r="D47" s="10">
        <v>44</v>
      </c>
      <c r="E47" s="10"/>
      <c r="F47" s="9">
        <f t="shared" si="0"/>
        <v>0</v>
      </c>
      <c r="G47" s="11">
        <f t="shared" si="1"/>
        <v>44</v>
      </c>
      <c r="H47" s="12">
        <v>375.68</v>
      </c>
      <c r="I47" s="13">
        <f t="shared" si="2"/>
        <v>16529.920000000002</v>
      </c>
      <c r="J47" s="14">
        <v>400</v>
      </c>
      <c r="K47" s="13">
        <f t="shared" si="3"/>
        <v>17600</v>
      </c>
      <c r="L47" s="11">
        <f>G47-'6'!D47</f>
        <v>6</v>
      </c>
      <c r="M47" s="13">
        <f t="shared" si="4"/>
        <v>2400</v>
      </c>
    </row>
    <row r="48" spans="1:13">
      <c r="A48" s="7" t="s">
        <v>54</v>
      </c>
      <c r="B48" s="7" t="s">
        <v>44</v>
      </c>
      <c r="C48" s="9">
        <v>50</v>
      </c>
      <c r="D48" s="11">
        <v>72</v>
      </c>
      <c r="E48" s="11"/>
      <c r="F48" s="9">
        <f t="shared" si="0"/>
        <v>0</v>
      </c>
      <c r="G48" s="11">
        <f t="shared" si="1"/>
        <v>72</v>
      </c>
      <c r="H48" s="12">
        <v>670.32</v>
      </c>
      <c r="I48" s="13">
        <f t="shared" si="2"/>
        <v>48263.040000000001</v>
      </c>
      <c r="J48" s="14">
        <v>710</v>
      </c>
      <c r="K48" s="13">
        <f t="shared" si="3"/>
        <v>51120</v>
      </c>
      <c r="L48" s="11">
        <f>G48-'6'!D48</f>
        <v>12</v>
      </c>
      <c r="M48" s="13">
        <f t="shared" si="4"/>
        <v>8520</v>
      </c>
    </row>
    <row r="49" spans="1:13">
      <c r="A49" s="7" t="s">
        <v>43</v>
      </c>
      <c r="B49" s="7" t="s">
        <v>17</v>
      </c>
      <c r="C49" s="9">
        <v>50</v>
      </c>
      <c r="D49" s="10">
        <v>13</v>
      </c>
      <c r="E49" s="10"/>
      <c r="F49" s="9">
        <f t="shared" si="0"/>
        <v>0</v>
      </c>
      <c r="G49" s="11">
        <f t="shared" si="1"/>
        <v>13</v>
      </c>
      <c r="H49" s="12">
        <v>661.22</v>
      </c>
      <c r="I49" s="13">
        <f t="shared" si="2"/>
        <v>8595.86</v>
      </c>
      <c r="J49" s="14">
        <v>710</v>
      </c>
      <c r="K49" s="13">
        <f t="shared" si="3"/>
        <v>9230</v>
      </c>
      <c r="L49" s="11">
        <f>G49-'6'!D49</f>
        <v>12</v>
      </c>
      <c r="M49" s="13">
        <f t="shared" si="4"/>
        <v>8520</v>
      </c>
    </row>
    <row r="50" spans="1:13">
      <c r="A50" s="7" t="s">
        <v>43</v>
      </c>
      <c r="B50" s="7" t="s">
        <v>18</v>
      </c>
      <c r="C50" s="9">
        <v>50</v>
      </c>
      <c r="D50" s="10">
        <v>11</v>
      </c>
      <c r="E50" s="10"/>
      <c r="F50" s="9">
        <f t="shared" si="0"/>
        <v>0</v>
      </c>
      <c r="G50" s="11">
        <f t="shared" si="1"/>
        <v>11</v>
      </c>
      <c r="H50" s="12">
        <v>661.22</v>
      </c>
      <c r="I50" s="13">
        <f t="shared" si="2"/>
        <v>7273.42</v>
      </c>
      <c r="J50" s="14">
        <v>710</v>
      </c>
      <c r="K50" s="13">
        <f t="shared" si="3"/>
        <v>7810</v>
      </c>
      <c r="L50" s="11">
        <f>G50-'6'!D50</f>
        <v>7</v>
      </c>
      <c r="M50" s="13">
        <f t="shared" si="4"/>
        <v>4970</v>
      </c>
    </row>
    <row r="51" spans="1:13">
      <c r="A51" s="7" t="s">
        <v>43</v>
      </c>
      <c r="B51" s="7" t="s">
        <v>19</v>
      </c>
      <c r="C51" s="9">
        <v>50</v>
      </c>
      <c r="D51" s="10"/>
      <c r="E51" s="10"/>
      <c r="F51" s="9">
        <f t="shared" si="0"/>
        <v>0</v>
      </c>
      <c r="G51" s="11">
        <f t="shared" si="1"/>
        <v>0</v>
      </c>
      <c r="H51" s="12">
        <v>661.22</v>
      </c>
      <c r="I51" s="13">
        <f t="shared" si="2"/>
        <v>0</v>
      </c>
      <c r="J51" s="14">
        <v>710</v>
      </c>
      <c r="K51" s="13">
        <f t="shared" si="3"/>
        <v>0</v>
      </c>
      <c r="L51" s="11">
        <f>G51-'6'!D51</f>
        <v>0</v>
      </c>
      <c r="M51" s="13">
        <f t="shared" si="4"/>
        <v>0</v>
      </c>
    </row>
    <row r="52" spans="1:13">
      <c r="A52" s="7" t="s">
        <v>43</v>
      </c>
      <c r="B52" s="7" t="s">
        <v>20</v>
      </c>
      <c r="C52" s="9">
        <v>50</v>
      </c>
      <c r="D52" s="10"/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f>G52-'6'!D52</f>
        <v>0</v>
      </c>
      <c r="M52" s="13">
        <f t="shared" si="4"/>
        <v>0</v>
      </c>
    </row>
    <row r="53" spans="1:13">
      <c r="A53" s="7" t="s">
        <v>43</v>
      </c>
      <c r="B53" s="7" t="s">
        <v>21</v>
      </c>
      <c r="C53" s="9">
        <v>50</v>
      </c>
      <c r="D53" s="10"/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f>G53-'6'!D53</f>
        <v>0</v>
      </c>
      <c r="M53" s="13">
        <f t="shared" si="4"/>
        <v>0</v>
      </c>
    </row>
    <row r="54" spans="1:13">
      <c r="A54" s="7" t="s">
        <v>43</v>
      </c>
      <c r="B54" s="7" t="s">
        <v>44</v>
      </c>
      <c r="C54" s="9">
        <v>85</v>
      </c>
      <c r="D54" s="10">
        <v>3</v>
      </c>
      <c r="E54" s="10"/>
      <c r="F54" s="9">
        <f t="shared" si="0"/>
        <v>0</v>
      </c>
      <c r="G54" s="11">
        <f t="shared" si="1"/>
        <v>3</v>
      </c>
      <c r="H54" s="12">
        <v>797.07</v>
      </c>
      <c r="I54" s="13">
        <f t="shared" si="2"/>
        <v>2391.21</v>
      </c>
      <c r="J54" s="14">
        <v>845</v>
      </c>
      <c r="K54" s="13">
        <f t="shared" si="3"/>
        <v>2535</v>
      </c>
      <c r="L54" s="11">
        <f>G54-'6'!D54</f>
        <v>0</v>
      </c>
      <c r="M54" s="13">
        <f t="shared" si="4"/>
        <v>0</v>
      </c>
    </row>
    <row r="55" spans="1:13">
      <c r="A55" s="7" t="s">
        <v>45</v>
      </c>
      <c r="B55" s="7" t="s">
        <v>35</v>
      </c>
      <c r="C55" s="9">
        <v>18</v>
      </c>
      <c r="D55" s="10">
        <v>1101</v>
      </c>
      <c r="E55" s="10"/>
      <c r="F55" s="9">
        <f t="shared" si="0"/>
        <v>0</v>
      </c>
      <c r="G55" s="11">
        <f t="shared" si="1"/>
        <v>1101</v>
      </c>
      <c r="H55" s="12">
        <v>160.77000000000001</v>
      </c>
      <c r="I55" s="13">
        <f t="shared" si="2"/>
        <v>177007.77000000002</v>
      </c>
      <c r="J55" s="14">
        <v>175</v>
      </c>
      <c r="K55" s="13">
        <f t="shared" si="3"/>
        <v>192675</v>
      </c>
      <c r="L55" s="11">
        <f>G55-'6'!D55</f>
        <v>56</v>
      </c>
      <c r="M55" s="13">
        <f t="shared" si="4"/>
        <v>9800</v>
      </c>
    </row>
    <row r="56" spans="1:13">
      <c r="A56" s="7" t="s">
        <v>46</v>
      </c>
      <c r="B56" s="7" t="s">
        <v>13</v>
      </c>
      <c r="C56" s="9">
        <v>70</v>
      </c>
      <c r="D56" s="10">
        <v>21</v>
      </c>
      <c r="E56" s="10"/>
      <c r="F56" s="9">
        <f t="shared" si="0"/>
        <v>0</v>
      </c>
      <c r="G56" s="11">
        <f t="shared" si="1"/>
        <v>21</v>
      </c>
      <c r="H56" s="12">
        <v>744.99</v>
      </c>
      <c r="I56" s="13">
        <f t="shared" si="2"/>
        <v>15644.79</v>
      </c>
      <c r="J56" s="14">
        <v>790</v>
      </c>
      <c r="K56" s="13">
        <f t="shared" si="3"/>
        <v>16590</v>
      </c>
      <c r="L56" s="11">
        <f>G56-'6'!D56</f>
        <v>0</v>
      </c>
      <c r="M56" s="13">
        <f t="shared" si="4"/>
        <v>0</v>
      </c>
    </row>
    <row r="57" spans="1:13">
      <c r="A57" s="7" t="s">
        <v>47</v>
      </c>
      <c r="B57" s="7" t="s">
        <v>29</v>
      </c>
      <c r="C57" s="9">
        <v>30</v>
      </c>
      <c r="D57" s="10"/>
      <c r="E57" s="10"/>
      <c r="F57" s="9">
        <f t="shared" si="0"/>
        <v>0</v>
      </c>
      <c r="G57" s="11">
        <f t="shared" si="1"/>
        <v>0</v>
      </c>
      <c r="H57" s="12">
        <v>316.14999999999998</v>
      </c>
      <c r="I57" s="13">
        <f t="shared" si="2"/>
        <v>0</v>
      </c>
      <c r="J57" s="14">
        <v>336</v>
      </c>
      <c r="K57" s="13">
        <f t="shared" si="3"/>
        <v>0</v>
      </c>
      <c r="L57" s="11">
        <f>G57-'6'!D57</f>
        <v>0</v>
      </c>
      <c r="M57" s="13">
        <f t="shared" si="4"/>
        <v>0</v>
      </c>
    </row>
    <row r="58" spans="1:13">
      <c r="A58" s="7" t="s">
        <v>48</v>
      </c>
      <c r="B58" s="7" t="s">
        <v>13</v>
      </c>
      <c r="C58" s="9">
        <v>95</v>
      </c>
      <c r="D58" s="10">
        <v>13</v>
      </c>
      <c r="E58" s="10"/>
      <c r="F58" s="9">
        <f t="shared" si="0"/>
        <v>0</v>
      </c>
      <c r="G58" s="11">
        <f t="shared" si="1"/>
        <v>13</v>
      </c>
      <c r="H58" s="12">
        <v>1042.9000000000001</v>
      </c>
      <c r="I58" s="13">
        <f t="shared" si="2"/>
        <v>13557.7</v>
      </c>
      <c r="J58" s="14">
        <v>1105</v>
      </c>
      <c r="K58" s="13">
        <f t="shared" si="3"/>
        <v>14365</v>
      </c>
      <c r="L58" s="11">
        <f>G58-'6'!D58</f>
        <v>2</v>
      </c>
      <c r="M58" s="13">
        <f t="shared" si="4"/>
        <v>2210</v>
      </c>
    </row>
    <row r="59" spans="1:13">
      <c r="A59" s="7" t="s">
        <v>49</v>
      </c>
      <c r="B59" s="7" t="s">
        <v>35</v>
      </c>
      <c r="C59" s="9">
        <v>28</v>
      </c>
      <c r="D59" s="10">
        <v>40</v>
      </c>
      <c r="E59" s="10"/>
      <c r="F59" s="9">
        <f t="shared" si="0"/>
        <v>0</v>
      </c>
      <c r="G59" s="11">
        <f t="shared" si="1"/>
        <v>40</v>
      </c>
      <c r="H59" s="12">
        <v>165.06</v>
      </c>
      <c r="I59" s="13">
        <f t="shared" si="2"/>
        <v>6602.4</v>
      </c>
      <c r="J59" s="14">
        <v>180</v>
      </c>
      <c r="K59" s="13">
        <f t="shared" si="3"/>
        <v>7200</v>
      </c>
      <c r="L59" s="11">
        <f>G59-'6'!D59</f>
        <v>7</v>
      </c>
      <c r="M59" s="13">
        <f t="shared" si="4"/>
        <v>1260</v>
      </c>
    </row>
    <row r="60" spans="1:13">
      <c r="A60" s="7" t="s">
        <v>50</v>
      </c>
      <c r="B60" s="7" t="s">
        <v>17</v>
      </c>
      <c r="C60" s="9">
        <v>70</v>
      </c>
      <c r="D60" s="10"/>
      <c r="E60" s="10"/>
      <c r="F60" s="9">
        <f t="shared" si="0"/>
        <v>0</v>
      </c>
      <c r="G60" s="11">
        <f t="shared" si="1"/>
        <v>0</v>
      </c>
      <c r="H60" s="12">
        <v>721.25</v>
      </c>
      <c r="I60" s="13">
        <f t="shared" si="2"/>
        <v>0</v>
      </c>
      <c r="J60" s="14">
        <v>771</v>
      </c>
      <c r="K60" s="13">
        <f t="shared" si="3"/>
        <v>0</v>
      </c>
      <c r="L60" s="11">
        <f>G60-'6'!D60</f>
        <v>0</v>
      </c>
      <c r="M60" s="13">
        <f t="shared" si="4"/>
        <v>0</v>
      </c>
    </row>
    <row r="61" spans="1:13">
      <c r="A61" s="7" t="s">
        <v>50</v>
      </c>
      <c r="B61" s="7" t="s">
        <v>18</v>
      </c>
      <c r="C61" s="9">
        <v>70</v>
      </c>
      <c r="D61" s="10"/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f>G61-'6'!D61</f>
        <v>0</v>
      </c>
      <c r="M61" s="13">
        <f t="shared" si="4"/>
        <v>0</v>
      </c>
    </row>
    <row r="62" spans="1:13">
      <c r="A62" s="7" t="s">
        <v>51</v>
      </c>
      <c r="B62" s="7" t="s">
        <v>17</v>
      </c>
      <c r="C62" s="9">
        <v>100</v>
      </c>
      <c r="D62" s="10">
        <v>215</v>
      </c>
      <c r="E62" s="10"/>
      <c r="F62" s="9">
        <f t="shared" si="0"/>
        <v>0</v>
      </c>
      <c r="G62" s="11">
        <f t="shared" si="1"/>
        <v>215</v>
      </c>
      <c r="H62" s="12">
        <v>790.89</v>
      </c>
      <c r="I62" s="13">
        <f t="shared" si="2"/>
        <v>170041.35</v>
      </c>
      <c r="J62" s="14">
        <v>845</v>
      </c>
      <c r="K62" s="13">
        <f t="shared" si="3"/>
        <v>181675</v>
      </c>
      <c r="L62" s="11">
        <f>G62-'6'!D62</f>
        <v>36</v>
      </c>
      <c r="M62" s="13">
        <f t="shared" si="4"/>
        <v>30420</v>
      </c>
    </row>
    <row r="63" spans="1:13">
      <c r="A63" s="7" t="s">
        <v>51</v>
      </c>
      <c r="B63" s="7" t="s">
        <v>18</v>
      </c>
      <c r="C63" s="9">
        <v>100</v>
      </c>
      <c r="D63" s="10">
        <v>184</v>
      </c>
      <c r="E63" s="10"/>
      <c r="F63" s="9">
        <f t="shared" si="0"/>
        <v>0</v>
      </c>
      <c r="G63" s="11">
        <f t="shared" si="1"/>
        <v>184</v>
      </c>
      <c r="H63" s="12">
        <v>790.89</v>
      </c>
      <c r="I63" s="13">
        <f t="shared" si="2"/>
        <v>145523.76</v>
      </c>
      <c r="J63" s="14">
        <v>845</v>
      </c>
      <c r="K63" s="13">
        <f t="shared" si="3"/>
        <v>155480</v>
      </c>
      <c r="L63" s="11">
        <f>G63-'6'!D63</f>
        <v>24</v>
      </c>
      <c r="M63" s="13">
        <f t="shared" si="4"/>
        <v>20280</v>
      </c>
    </row>
    <row r="64" spans="1:13">
      <c r="A64" s="7" t="s">
        <v>51</v>
      </c>
      <c r="B64" s="7" t="s">
        <v>19</v>
      </c>
      <c r="C64" s="9">
        <v>100</v>
      </c>
      <c r="D64" s="10"/>
      <c r="E64" s="10"/>
      <c r="F64" s="9">
        <f t="shared" si="0"/>
        <v>0</v>
      </c>
      <c r="G64" s="11">
        <f t="shared" si="1"/>
        <v>0</v>
      </c>
      <c r="H64" s="12">
        <v>790.89</v>
      </c>
      <c r="I64" s="13">
        <f t="shared" si="2"/>
        <v>0</v>
      </c>
      <c r="J64" s="14">
        <v>845</v>
      </c>
      <c r="K64" s="13">
        <f t="shared" si="3"/>
        <v>0</v>
      </c>
      <c r="L64" s="11">
        <f>G64-'6'!D64</f>
        <v>0</v>
      </c>
      <c r="M64" s="13">
        <f t="shared" si="4"/>
        <v>0</v>
      </c>
    </row>
    <row r="65" spans="1:13">
      <c r="A65" s="7" t="s">
        <v>51</v>
      </c>
      <c r="B65" s="7" t="s">
        <v>20</v>
      </c>
      <c r="C65" s="9">
        <v>100</v>
      </c>
      <c r="D65" s="10"/>
      <c r="E65" s="11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f>G65-'6'!D65</f>
        <v>0</v>
      </c>
      <c r="M65" s="13">
        <f t="shared" si="4"/>
        <v>0</v>
      </c>
    </row>
    <row r="66" spans="1:13">
      <c r="A66" s="7" t="s">
        <v>51</v>
      </c>
      <c r="B66" s="7" t="s">
        <v>21</v>
      </c>
      <c r="C66" s="9">
        <v>100</v>
      </c>
      <c r="D66" s="10"/>
      <c r="E66" s="11"/>
      <c r="F66" s="15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f>G66-'6'!D66</f>
        <v>0</v>
      </c>
      <c r="M66" s="13">
        <f t="shared" si="4"/>
        <v>0</v>
      </c>
    </row>
    <row r="67" spans="1:13">
      <c r="A67" s="35" t="s">
        <v>52</v>
      </c>
      <c r="B67" s="36"/>
      <c r="C67" s="37"/>
      <c r="D67" s="16">
        <f>SUM(D2:D66)</f>
        <v>4607</v>
      </c>
      <c r="E67" s="17">
        <f>SUM(E2:E66)</f>
        <v>0</v>
      </c>
      <c r="F67" s="18">
        <f>SUM(F2:F66)</f>
        <v>0</v>
      </c>
      <c r="G67" s="17">
        <f>SUM(G2:G66)</f>
        <v>4607</v>
      </c>
      <c r="H67" s="19"/>
      <c r="I67" s="20">
        <f>SUM(I2:I66)</f>
        <v>1700973.2299999997</v>
      </c>
      <c r="J67" s="21">
        <f>SUM(J2:J66)</f>
        <v>39088</v>
      </c>
      <c r="K67" s="22">
        <f>SUM(K2:K66)</f>
        <v>1820284</v>
      </c>
      <c r="L67" s="23">
        <f>SUM(L2:L66)</f>
        <v>451</v>
      </c>
      <c r="M67" s="24">
        <f>SUM(M2:M66)</f>
        <v>232309</v>
      </c>
    </row>
    <row r="70" spans="1:13">
      <c r="F70" s="31"/>
    </row>
    <row r="73" spans="1:13">
      <c r="I73" s="33"/>
      <c r="J73" s="32"/>
      <c r="K73" s="33"/>
    </row>
    <row r="74" spans="1:13">
      <c r="I74" s="33"/>
      <c r="J74" s="32"/>
      <c r="K74" s="33"/>
    </row>
    <row r="75" spans="1:13">
      <c r="I75" s="33"/>
      <c r="J75" s="29"/>
      <c r="K75" s="30"/>
    </row>
    <row r="76" spans="1:13">
      <c r="D76" s="25" t="s">
        <v>53</v>
      </c>
      <c r="I76" s="33"/>
      <c r="J76" s="34"/>
      <c r="K76" s="34"/>
    </row>
    <row r="77" spans="1:13">
      <c r="I77" s="33"/>
      <c r="J77" s="32"/>
      <c r="K77" s="33"/>
    </row>
    <row r="78" spans="1:13">
      <c r="F78" s="26"/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</row>
  </sheetData>
  <mergeCells count="1">
    <mergeCell ref="A67:C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80"/>
  <sheetViews>
    <sheetView topLeftCell="A14" workbookViewId="0">
      <selection activeCell="P74" sqref="P74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481</v>
      </c>
      <c r="E2" s="11"/>
      <c r="F2" s="9">
        <f>E2*H2</f>
        <v>0</v>
      </c>
      <c r="G2" s="11">
        <f>D2+E2</f>
        <v>481</v>
      </c>
      <c r="H2" s="12">
        <v>308.13</v>
      </c>
      <c r="I2" s="13">
        <f>H2*D2</f>
        <v>148210.53</v>
      </c>
      <c r="J2" s="14">
        <v>326</v>
      </c>
      <c r="K2" s="13">
        <f>J2*D2</f>
        <v>156806</v>
      </c>
      <c r="L2" s="11">
        <f>G2-'7'!D2</f>
        <v>17</v>
      </c>
      <c r="M2" s="13">
        <f>L2*J2</f>
        <v>5542</v>
      </c>
    </row>
    <row r="3" spans="1:13">
      <c r="A3" s="7" t="s">
        <v>12</v>
      </c>
      <c r="B3" s="8" t="s">
        <v>14</v>
      </c>
      <c r="C3" s="9">
        <v>9</v>
      </c>
      <c r="D3" s="10">
        <v>66</v>
      </c>
      <c r="E3" s="11"/>
      <c r="F3" s="9">
        <f t="shared" ref="F3:F66" si="0">E3*H3</f>
        <v>0</v>
      </c>
      <c r="G3" s="11">
        <f t="shared" ref="G3:G66" si="1">D3+E3</f>
        <v>66</v>
      </c>
      <c r="H3" s="12">
        <v>308.19</v>
      </c>
      <c r="I3" s="13">
        <f t="shared" ref="I3:I66" si="2">H3*D3</f>
        <v>20340.54</v>
      </c>
      <c r="J3" s="14">
        <v>326</v>
      </c>
      <c r="K3" s="13">
        <f t="shared" ref="K3:K66" si="3">J3*D3</f>
        <v>21516</v>
      </c>
      <c r="L3" s="11">
        <f>G3-'7'!D3</f>
        <v>4</v>
      </c>
      <c r="M3" s="13">
        <f t="shared" ref="M3:M66" si="4">L3*J3</f>
        <v>1304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f>G4-'7'!D4</f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184</v>
      </c>
      <c r="E5" s="11"/>
      <c r="F5" s="9">
        <f t="shared" si="0"/>
        <v>0</v>
      </c>
      <c r="G5" s="11">
        <f t="shared" si="1"/>
        <v>184</v>
      </c>
      <c r="H5" s="12">
        <v>174.77</v>
      </c>
      <c r="I5" s="13">
        <f t="shared" si="2"/>
        <v>32157.68</v>
      </c>
      <c r="J5" s="14">
        <v>192</v>
      </c>
      <c r="K5" s="13">
        <f t="shared" si="3"/>
        <v>35328</v>
      </c>
      <c r="L5" s="11">
        <f>G5-'7'!D5</f>
        <v>19</v>
      </c>
      <c r="M5" s="13">
        <f t="shared" si="4"/>
        <v>3648</v>
      </c>
    </row>
    <row r="6" spans="1:13">
      <c r="A6" s="7" t="s">
        <v>16</v>
      </c>
      <c r="B6" s="8" t="s">
        <v>18</v>
      </c>
      <c r="C6" s="9">
        <v>10</v>
      </c>
      <c r="D6" s="10">
        <v>192</v>
      </c>
      <c r="E6" s="11"/>
      <c r="F6" s="9">
        <f t="shared" si="0"/>
        <v>0</v>
      </c>
      <c r="G6" s="11">
        <f t="shared" si="1"/>
        <v>192</v>
      </c>
      <c r="H6" s="12">
        <v>174.77</v>
      </c>
      <c r="I6" s="13">
        <f t="shared" si="2"/>
        <v>33555.840000000004</v>
      </c>
      <c r="J6" s="14">
        <v>192</v>
      </c>
      <c r="K6" s="13">
        <f t="shared" si="3"/>
        <v>36864</v>
      </c>
      <c r="L6" s="11">
        <f>G6-'7'!D6</f>
        <v>12</v>
      </c>
      <c r="M6" s="13">
        <f t="shared" si="4"/>
        <v>2304</v>
      </c>
    </row>
    <row r="7" spans="1:13">
      <c r="A7" s="7" t="s">
        <v>16</v>
      </c>
      <c r="B7" s="8" t="s">
        <v>19</v>
      </c>
      <c r="C7" s="9">
        <v>10</v>
      </c>
      <c r="D7" s="10">
        <v>52</v>
      </c>
      <c r="E7" s="11"/>
      <c r="F7" s="9">
        <f t="shared" si="0"/>
        <v>0</v>
      </c>
      <c r="G7" s="11">
        <f t="shared" si="1"/>
        <v>52</v>
      </c>
      <c r="H7" s="12">
        <v>174.77</v>
      </c>
      <c r="I7" s="13">
        <f t="shared" si="2"/>
        <v>9088.0400000000009</v>
      </c>
      <c r="J7" s="14">
        <v>192</v>
      </c>
      <c r="K7" s="13">
        <f t="shared" si="3"/>
        <v>9984</v>
      </c>
      <c r="L7" s="11">
        <f>G7-'7'!D7</f>
        <v>4</v>
      </c>
      <c r="M7" s="13">
        <f t="shared" si="4"/>
        <v>768</v>
      </c>
    </row>
    <row r="8" spans="1:13">
      <c r="A8" s="7" t="s">
        <v>16</v>
      </c>
      <c r="B8" s="8" t="s">
        <v>20</v>
      </c>
      <c r="C8" s="9">
        <v>10</v>
      </c>
      <c r="D8" s="10">
        <v>83</v>
      </c>
      <c r="E8" s="11"/>
      <c r="F8" s="9">
        <f t="shared" si="0"/>
        <v>0</v>
      </c>
      <c r="G8" s="11">
        <f t="shared" si="1"/>
        <v>83</v>
      </c>
      <c r="H8" s="12">
        <v>174.77</v>
      </c>
      <c r="I8" s="13">
        <f t="shared" si="2"/>
        <v>14505.910000000002</v>
      </c>
      <c r="J8" s="14">
        <v>192</v>
      </c>
      <c r="K8" s="13">
        <f t="shared" si="3"/>
        <v>15936</v>
      </c>
      <c r="L8" s="11">
        <f>G8-'7'!D8</f>
        <v>10</v>
      </c>
      <c r="M8" s="13">
        <f t="shared" si="4"/>
        <v>1920</v>
      </c>
    </row>
    <row r="9" spans="1:13">
      <c r="A9" s="7" t="s">
        <v>16</v>
      </c>
      <c r="B9" s="8" t="s">
        <v>21</v>
      </c>
      <c r="C9" s="9">
        <v>10</v>
      </c>
      <c r="D9" s="10">
        <v>180</v>
      </c>
      <c r="E9" s="11"/>
      <c r="F9" s="9">
        <f t="shared" si="0"/>
        <v>0</v>
      </c>
      <c r="G9" s="11">
        <f t="shared" si="1"/>
        <v>180</v>
      </c>
      <c r="H9" s="12">
        <v>174.77</v>
      </c>
      <c r="I9" s="13">
        <f t="shared" si="2"/>
        <v>31458.600000000002</v>
      </c>
      <c r="J9" s="14">
        <v>192</v>
      </c>
      <c r="K9" s="13">
        <f t="shared" si="3"/>
        <v>34560</v>
      </c>
      <c r="L9" s="11">
        <f>G9-'7'!D9</f>
        <v>11</v>
      </c>
      <c r="M9" s="13">
        <f t="shared" si="4"/>
        <v>2112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f>G10-'7'!D10</f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37</v>
      </c>
      <c r="E11" s="11"/>
      <c r="F11" s="9">
        <f t="shared" si="0"/>
        <v>0</v>
      </c>
      <c r="G11" s="11">
        <f t="shared" si="1"/>
        <v>37</v>
      </c>
      <c r="H11" s="12">
        <v>470.8</v>
      </c>
      <c r="I11" s="13">
        <f t="shared" si="2"/>
        <v>17419.600000000002</v>
      </c>
      <c r="J11" s="14">
        <v>505</v>
      </c>
      <c r="K11" s="13">
        <f t="shared" si="3"/>
        <v>18685</v>
      </c>
      <c r="L11" s="11">
        <f>G11-'7'!D11</f>
        <v>2</v>
      </c>
      <c r="M11" s="13">
        <f t="shared" si="4"/>
        <v>1010</v>
      </c>
    </row>
    <row r="12" spans="1:13">
      <c r="A12" s="7" t="s">
        <v>22</v>
      </c>
      <c r="B12" s="8" t="s">
        <v>17</v>
      </c>
      <c r="C12" s="9">
        <v>20</v>
      </c>
      <c r="D12" s="10">
        <v>413</v>
      </c>
      <c r="E12" s="11"/>
      <c r="F12" s="9">
        <f>E12*H12</f>
        <v>0</v>
      </c>
      <c r="G12" s="11">
        <f t="shared" si="1"/>
        <v>413</v>
      </c>
      <c r="H12" s="12">
        <v>475.77</v>
      </c>
      <c r="I12" s="13">
        <f t="shared" si="2"/>
        <v>196493.00999999998</v>
      </c>
      <c r="J12" s="14">
        <v>505</v>
      </c>
      <c r="K12" s="13">
        <f t="shared" si="3"/>
        <v>208565</v>
      </c>
      <c r="L12" s="11">
        <f>G12-'7'!D12</f>
        <v>56</v>
      </c>
      <c r="M12" s="13">
        <f t="shared" si="4"/>
        <v>28280</v>
      </c>
    </row>
    <row r="13" spans="1:13">
      <c r="A13" s="7" t="s">
        <v>22</v>
      </c>
      <c r="B13" s="8" t="s">
        <v>18</v>
      </c>
      <c r="C13" s="9">
        <v>20</v>
      </c>
      <c r="D13" s="10">
        <v>278</v>
      </c>
      <c r="E13" s="11"/>
      <c r="F13" s="9">
        <f t="shared" si="0"/>
        <v>0</v>
      </c>
      <c r="G13" s="11">
        <f t="shared" si="1"/>
        <v>278</v>
      </c>
      <c r="H13" s="12">
        <v>475.77</v>
      </c>
      <c r="I13" s="13">
        <f t="shared" si="2"/>
        <v>132264.06</v>
      </c>
      <c r="J13" s="14">
        <v>505</v>
      </c>
      <c r="K13" s="13">
        <f t="shared" si="3"/>
        <v>140390</v>
      </c>
      <c r="L13" s="11">
        <f>G13-'7'!D13</f>
        <v>26</v>
      </c>
      <c r="M13" s="13">
        <f t="shared" si="4"/>
        <v>13130</v>
      </c>
    </row>
    <row r="14" spans="1:13">
      <c r="A14" s="7" t="s">
        <v>22</v>
      </c>
      <c r="B14" s="8" t="s">
        <v>19</v>
      </c>
      <c r="C14" s="9">
        <v>20</v>
      </c>
      <c r="D14" s="10">
        <v>46</v>
      </c>
      <c r="E14" s="11"/>
      <c r="F14" s="9">
        <f t="shared" si="0"/>
        <v>0</v>
      </c>
      <c r="G14" s="11">
        <f t="shared" si="1"/>
        <v>46</v>
      </c>
      <c r="H14" s="12">
        <v>470.8</v>
      </c>
      <c r="I14" s="13">
        <f t="shared" si="2"/>
        <v>21656.799999999999</v>
      </c>
      <c r="J14" s="14">
        <v>505</v>
      </c>
      <c r="K14" s="13">
        <f t="shared" si="3"/>
        <v>23230</v>
      </c>
      <c r="L14" s="11">
        <f>G14-'7'!D14</f>
        <v>7</v>
      </c>
      <c r="M14" s="13">
        <f t="shared" si="4"/>
        <v>3535</v>
      </c>
    </row>
    <row r="15" spans="1:13">
      <c r="A15" s="7" t="s">
        <v>22</v>
      </c>
      <c r="B15" s="8" t="s">
        <v>20</v>
      </c>
      <c r="C15" s="9">
        <v>20</v>
      </c>
      <c r="D15" s="10">
        <v>47</v>
      </c>
      <c r="E15" s="11"/>
      <c r="F15" s="9">
        <f t="shared" si="0"/>
        <v>0</v>
      </c>
      <c r="G15" s="11">
        <f t="shared" si="1"/>
        <v>47</v>
      </c>
      <c r="H15" s="12">
        <v>470.8</v>
      </c>
      <c r="I15" s="13">
        <f t="shared" si="2"/>
        <v>22127.600000000002</v>
      </c>
      <c r="J15" s="14">
        <v>505</v>
      </c>
      <c r="K15" s="13">
        <f t="shared" si="3"/>
        <v>23735</v>
      </c>
      <c r="L15" s="11">
        <f>G15-'7'!D15</f>
        <v>4</v>
      </c>
      <c r="M15" s="13">
        <f t="shared" si="4"/>
        <v>2020</v>
      </c>
    </row>
    <row r="16" spans="1:13">
      <c r="A16" s="7" t="s">
        <v>22</v>
      </c>
      <c r="B16" s="8" t="s">
        <v>21</v>
      </c>
      <c r="C16" s="9">
        <v>20</v>
      </c>
      <c r="D16" s="10"/>
      <c r="E16" s="11"/>
      <c r="F16" s="9">
        <f t="shared" si="0"/>
        <v>0</v>
      </c>
      <c r="G16" s="11">
        <f t="shared" si="1"/>
        <v>0</v>
      </c>
      <c r="H16" s="12">
        <v>470.8</v>
      </c>
      <c r="I16" s="13">
        <f t="shared" si="2"/>
        <v>0</v>
      </c>
      <c r="J16" s="14">
        <v>505</v>
      </c>
      <c r="K16" s="13">
        <f t="shared" si="3"/>
        <v>0</v>
      </c>
      <c r="L16" s="11">
        <f>G16-'7'!D16</f>
        <v>0</v>
      </c>
      <c r="M16" s="13">
        <f t="shared" si="4"/>
        <v>0</v>
      </c>
    </row>
    <row r="17" spans="1:13">
      <c r="A17" s="7" t="s">
        <v>22</v>
      </c>
      <c r="B17" s="8" t="s">
        <v>29</v>
      </c>
      <c r="C17" s="9">
        <v>11</v>
      </c>
      <c r="D17" s="10">
        <v>80</v>
      </c>
      <c r="E17" s="11"/>
      <c r="F17" s="9">
        <f t="shared" si="0"/>
        <v>0</v>
      </c>
      <c r="G17" s="11">
        <f t="shared" si="1"/>
        <v>80</v>
      </c>
      <c r="H17" s="12">
        <v>235.59</v>
      </c>
      <c r="I17" s="13">
        <f t="shared" si="2"/>
        <v>18847.2</v>
      </c>
      <c r="J17" s="14">
        <v>250</v>
      </c>
      <c r="K17" s="13">
        <f t="shared" si="3"/>
        <v>20000</v>
      </c>
      <c r="L17" s="11">
        <f>G17-'7'!D17</f>
        <v>4</v>
      </c>
      <c r="M17" s="13">
        <f t="shared" si="4"/>
        <v>1000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f>G18-'7'!D18</f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/>
      <c r="E19" s="11"/>
      <c r="F19" s="9">
        <f t="shared" si="0"/>
        <v>0</v>
      </c>
      <c r="G19" s="11">
        <f t="shared" si="1"/>
        <v>0</v>
      </c>
      <c r="H19" s="12">
        <v>204</v>
      </c>
      <c r="I19" s="13">
        <f t="shared" si="2"/>
        <v>0</v>
      </c>
      <c r="J19" s="14">
        <v>230</v>
      </c>
      <c r="K19" s="13">
        <f t="shared" si="3"/>
        <v>0</v>
      </c>
      <c r="L19" s="11">
        <f>G19-'7'!D19</f>
        <v>0</v>
      </c>
      <c r="M19" s="13">
        <f t="shared" si="4"/>
        <v>0</v>
      </c>
    </row>
    <row r="20" spans="1:13">
      <c r="A20" s="7" t="s">
        <v>22</v>
      </c>
      <c r="B20" s="8" t="s">
        <v>25</v>
      </c>
      <c r="C20" s="9">
        <v>10</v>
      </c>
      <c r="D20" s="10"/>
      <c r="E20" s="11"/>
      <c r="F20" s="9">
        <f t="shared" si="0"/>
        <v>0</v>
      </c>
      <c r="G20" s="11">
        <f t="shared" si="1"/>
        <v>0</v>
      </c>
      <c r="H20" s="12">
        <v>204</v>
      </c>
      <c r="I20" s="13">
        <f>H20*D20</f>
        <v>0</v>
      </c>
      <c r="J20" s="14">
        <v>230</v>
      </c>
      <c r="K20" s="13">
        <f t="shared" si="3"/>
        <v>0</v>
      </c>
      <c r="L20" s="11">
        <f>G20-'7'!D20</f>
        <v>0</v>
      </c>
      <c r="M20" s="13">
        <f t="shared" si="4"/>
        <v>0</v>
      </c>
    </row>
    <row r="21" spans="1:13">
      <c r="A21" s="7" t="s">
        <v>22</v>
      </c>
      <c r="B21" s="8" t="s">
        <v>26</v>
      </c>
      <c r="C21" s="9">
        <v>10</v>
      </c>
      <c r="D21" s="10">
        <v>29</v>
      </c>
      <c r="E21" s="11"/>
      <c r="F21" s="9">
        <f t="shared" si="0"/>
        <v>0</v>
      </c>
      <c r="G21" s="11">
        <f t="shared" si="1"/>
        <v>29</v>
      </c>
      <c r="H21" s="12">
        <v>204</v>
      </c>
      <c r="I21" s="13">
        <f t="shared" si="2"/>
        <v>5916</v>
      </c>
      <c r="J21" s="14">
        <v>230</v>
      </c>
      <c r="K21" s="13">
        <f t="shared" si="3"/>
        <v>6670</v>
      </c>
      <c r="L21" s="11">
        <f>G21-'7'!D21</f>
        <v>1</v>
      </c>
      <c r="M21" s="13">
        <f t="shared" si="4"/>
        <v>230</v>
      </c>
    </row>
    <row r="22" spans="1:13">
      <c r="A22" s="7" t="s">
        <v>22</v>
      </c>
      <c r="B22" s="8" t="s">
        <v>13</v>
      </c>
      <c r="C22" s="9">
        <v>19</v>
      </c>
      <c r="D22" s="10">
        <v>51</v>
      </c>
      <c r="E22" s="11"/>
      <c r="F22" s="9">
        <f t="shared" si="0"/>
        <v>0</v>
      </c>
      <c r="G22" s="11">
        <f t="shared" si="1"/>
        <v>51</v>
      </c>
      <c r="H22" s="12">
        <v>474.46</v>
      </c>
      <c r="I22" s="13">
        <f t="shared" si="2"/>
        <v>24197.46</v>
      </c>
      <c r="J22" s="14">
        <v>505</v>
      </c>
      <c r="K22" s="13">
        <f t="shared" si="3"/>
        <v>25755</v>
      </c>
      <c r="L22" s="11">
        <f>G22-'7'!D22</f>
        <v>21</v>
      </c>
      <c r="M22" s="13">
        <f t="shared" si="4"/>
        <v>10605</v>
      </c>
    </row>
    <row r="23" spans="1:13">
      <c r="A23" s="7" t="s">
        <v>22</v>
      </c>
      <c r="B23" s="8" t="s">
        <v>27</v>
      </c>
      <c r="C23" s="9">
        <v>24</v>
      </c>
      <c r="D23" s="10">
        <v>49</v>
      </c>
      <c r="E23" s="11"/>
      <c r="F23" s="9">
        <f t="shared" si="0"/>
        <v>0</v>
      </c>
      <c r="G23" s="11">
        <f t="shared" si="1"/>
        <v>49</v>
      </c>
      <c r="H23" s="12">
        <v>593.91999999999996</v>
      </c>
      <c r="I23" s="13">
        <f t="shared" si="2"/>
        <v>29102.079999999998</v>
      </c>
      <c r="J23" s="14">
        <v>630</v>
      </c>
      <c r="K23" s="13">
        <f t="shared" si="3"/>
        <v>30870</v>
      </c>
      <c r="L23" s="11">
        <f>G23-'7'!D23</f>
        <v>14</v>
      </c>
      <c r="M23" s="13">
        <f t="shared" si="4"/>
        <v>8820</v>
      </c>
    </row>
    <row r="24" spans="1:13">
      <c r="A24" s="7" t="s">
        <v>30</v>
      </c>
      <c r="B24" s="8" t="s">
        <v>17</v>
      </c>
      <c r="C24" s="9">
        <v>25</v>
      </c>
      <c r="D24" s="10">
        <v>63</v>
      </c>
      <c r="E24" s="10"/>
      <c r="F24" s="9">
        <f t="shared" si="0"/>
        <v>0</v>
      </c>
      <c r="G24" s="11">
        <f t="shared" si="1"/>
        <v>63</v>
      </c>
      <c r="H24" s="12">
        <v>453.3</v>
      </c>
      <c r="I24" s="13">
        <f t="shared" si="2"/>
        <v>28557.9</v>
      </c>
      <c r="J24" s="14">
        <v>493</v>
      </c>
      <c r="K24" s="13">
        <f t="shared" si="3"/>
        <v>31059</v>
      </c>
      <c r="L24" s="11">
        <f>G24-'7'!D24</f>
        <v>0</v>
      </c>
      <c r="M24" s="13">
        <f t="shared" si="4"/>
        <v>0</v>
      </c>
    </row>
    <row r="25" spans="1:13">
      <c r="A25" s="7" t="s">
        <v>30</v>
      </c>
      <c r="B25" s="8" t="s">
        <v>18</v>
      </c>
      <c r="C25" s="9">
        <v>25</v>
      </c>
      <c r="D25" s="10">
        <v>54</v>
      </c>
      <c r="E25" s="10"/>
      <c r="F25" s="9">
        <f t="shared" si="0"/>
        <v>0</v>
      </c>
      <c r="G25" s="11">
        <f t="shared" si="1"/>
        <v>54</v>
      </c>
      <c r="H25" s="12">
        <v>453.3</v>
      </c>
      <c r="I25" s="13">
        <f t="shared" si="2"/>
        <v>24478.2</v>
      </c>
      <c r="J25" s="14">
        <v>493</v>
      </c>
      <c r="K25" s="13">
        <f t="shared" si="3"/>
        <v>26622</v>
      </c>
      <c r="L25" s="11">
        <f>G25-'7'!D25</f>
        <v>0</v>
      </c>
      <c r="M25" s="13">
        <f t="shared" si="4"/>
        <v>0</v>
      </c>
    </row>
    <row r="26" spans="1:13">
      <c r="A26" s="7" t="s">
        <v>30</v>
      </c>
      <c r="B26" s="8" t="s">
        <v>20</v>
      </c>
      <c r="C26" s="9">
        <v>25</v>
      </c>
      <c r="D26" s="10"/>
      <c r="E26" s="10"/>
      <c r="F26" s="9">
        <f t="shared" si="0"/>
        <v>0</v>
      </c>
      <c r="G26" s="11">
        <f t="shared" si="1"/>
        <v>0</v>
      </c>
      <c r="H26" s="12">
        <v>453.3</v>
      </c>
      <c r="I26" s="13">
        <f t="shared" si="2"/>
        <v>0</v>
      </c>
      <c r="J26" s="14">
        <v>493</v>
      </c>
      <c r="K26" s="13">
        <f t="shared" si="3"/>
        <v>0</v>
      </c>
      <c r="L26" s="11">
        <f>G26-'7'!D26</f>
        <v>0</v>
      </c>
      <c r="M26" s="13">
        <f t="shared" si="4"/>
        <v>0</v>
      </c>
    </row>
    <row r="27" spans="1:13">
      <c r="A27" s="7" t="s">
        <v>30</v>
      </c>
      <c r="B27" s="8" t="s">
        <v>21</v>
      </c>
      <c r="C27" s="9">
        <v>25</v>
      </c>
      <c r="D27" s="10"/>
      <c r="E27" s="10"/>
      <c r="F27" s="9">
        <f t="shared" si="0"/>
        <v>0</v>
      </c>
      <c r="G27" s="11">
        <f t="shared" si="1"/>
        <v>0</v>
      </c>
      <c r="H27" s="12">
        <v>453.3</v>
      </c>
      <c r="I27" s="13">
        <f t="shared" si="2"/>
        <v>0</v>
      </c>
      <c r="J27" s="14">
        <v>493</v>
      </c>
      <c r="K27" s="13">
        <f t="shared" si="3"/>
        <v>0</v>
      </c>
      <c r="L27" s="11">
        <f>G27-'7'!D27</f>
        <v>0</v>
      </c>
      <c r="M27" s="13">
        <f t="shared" si="4"/>
        <v>0</v>
      </c>
    </row>
    <row r="28" spans="1:13">
      <c r="A28" s="7" t="s">
        <v>31</v>
      </c>
      <c r="B28" s="7" t="s">
        <v>17</v>
      </c>
      <c r="C28" s="9">
        <v>40</v>
      </c>
      <c r="D28" s="10"/>
      <c r="E28" s="10"/>
      <c r="F28" s="9">
        <f t="shared" si="0"/>
        <v>0</v>
      </c>
      <c r="G28" s="11">
        <f t="shared" si="1"/>
        <v>0</v>
      </c>
      <c r="H28" s="12">
        <v>821.36</v>
      </c>
      <c r="I28" s="13">
        <f t="shared" si="2"/>
        <v>0</v>
      </c>
      <c r="J28" s="14">
        <v>878</v>
      </c>
      <c r="K28" s="13">
        <f t="shared" si="3"/>
        <v>0</v>
      </c>
      <c r="L28" s="11">
        <f>G28-'7'!D28</f>
        <v>0</v>
      </c>
      <c r="M28" s="13">
        <f t="shared" si="4"/>
        <v>0</v>
      </c>
    </row>
    <row r="29" spans="1:13">
      <c r="A29" s="7" t="s">
        <v>31</v>
      </c>
      <c r="B29" s="7" t="s">
        <v>18</v>
      </c>
      <c r="C29" s="9">
        <v>40</v>
      </c>
      <c r="D29" s="10"/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f>G29-'7'!D29</f>
        <v>0</v>
      </c>
      <c r="M29" s="13">
        <f t="shared" si="4"/>
        <v>0</v>
      </c>
    </row>
    <row r="30" spans="1:13">
      <c r="A30" s="7" t="s">
        <v>31</v>
      </c>
      <c r="B30" s="7" t="s">
        <v>19</v>
      </c>
      <c r="C30" s="9">
        <v>40</v>
      </c>
      <c r="D30" s="10"/>
      <c r="E30" s="10"/>
      <c r="F30" s="9">
        <f t="shared" si="0"/>
        <v>0</v>
      </c>
      <c r="G30" s="11">
        <f t="shared" si="1"/>
        <v>0</v>
      </c>
      <c r="H30" s="12">
        <v>817.58</v>
      </c>
      <c r="I30" s="13">
        <f t="shared" si="2"/>
        <v>0</v>
      </c>
      <c r="J30" s="14">
        <v>878</v>
      </c>
      <c r="K30" s="13">
        <f t="shared" si="3"/>
        <v>0</v>
      </c>
      <c r="L30" s="11">
        <f>G30-'7'!D30</f>
        <v>0</v>
      </c>
      <c r="M30" s="13">
        <f t="shared" si="4"/>
        <v>0</v>
      </c>
    </row>
    <row r="31" spans="1:13">
      <c r="A31" s="7" t="s">
        <v>31</v>
      </c>
      <c r="B31" s="7" t="s">
        <v>20</v>
      </c>
      <c r="C31" s="9">
        <v>40</v>
      </c>
      <c r="D31" s="10"/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f>G31-'7'!D31</f>
        <v>0</v>
      </c>
      <c r="M31" s="13">
        <f t="shared" si="4"/>
        <v>0</v>
      </c>
    </row>
    <row r="32" spans="1:13">
      <c r="A32" s="7" t="s">
        <v>31</v>
      </c>
      <c r="B32" s="7" t="s">
        <v>21</v>
      </c>
      <c r="C32" s="9">
        <v>40</v>
      </c>
      <c r="D32" s="10"/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f>G32-'7'!D32</f>
        <v>0</v>
      </c>
      <c r="M32" s="13">
        <f t="shared" si="4"/>
        <v>0</v>
      </c>
    </row>
    <row r="33" spans="1:13">
      <c r="A33" s="7" t="s">
        <v>31</v>
      </c>
      <c r="B33" s="7" t="s">
        <v>32</v>
      </c>
      <c r="C33" s="9">
        <v>40</v>
      </c>
      <c r="D33" s="10"/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f>G33-'7'!D33</f>
        <v>0</v>
      </c>
      <c r="M33" s="13">
        <f t="shared" si="4"/>
        <v>0</v>
      </c>
    </row>
    <row r="34" spans="1:13">
      <c r="A34" s="7" t="s">
        <v>31</v>
      </c>
      <c r="B34" s="7" t="s">
        <v>33</v>
      </c>
      <c r="C34" s="9">
        <v>60</v>
      </c>
      <c r="D34" s="10">
        <v>30</v>
      </c>
      <c r="E34" s="10"/>
      <c r="F34" s="9">
        <f t="shared" si="0"/>
        <v>0</v>
      </c>
      <c r="G34" s="11">
        <f t="shared" si="1"/>
        <v>30</v>
      </c>
      <c r="H34" s="12">
        <v>1042.6500000000001</v>
      </c>
      <c r="I34" s="13">
        <f t="shared" si="2"/>
        <v>31279.500000000004</v>
      </c>
      <c r="J34" s="14">
        <v>1110</v>
      </c>
      <c r="K34" s="13">
        <f t="shared" si="3"/>
        <v>33300</v>
      </c>
      <c r="L34" s="11">
        <f>G34-'7'!D34</f>
        <v>13</v>
      </c>
      <c r="M34" s="13">
        <f t="shared" si="4"/>
        <v>14430</v>
      </c>
    </row>
    <row r="35" spans="1:13">
      <c r="A35" s="7" t="s">
        <v>34</v>
      </c>
      <c r="B35" s="7" t="s">
        <v>35</v>
      </c>
      <c r="C35" s="9">
        <v>7</v>
      </c>
      <c r="D35" s="10">
        <v>15</v>
      </c>
      <c r="E35" s="10"/>
      <c r="F35" s="9">
        <f t="shared" si="0"/>
        <v>0</v>
      </c>
      <c r="G35" s="11">
        <f t="shared" si="1"/>
        <v>15</v>
      </c>
      <c r="H35" s="12">
        <v>126.24</v>
      </c>
      <c r="I35" s="13">
        <f t="shared" si="2"/>
        <v>1893.6</v>
      </c>
      <c r="J35" s="14">
        <v>140</v>
      </c>
      <c r="K35" s="13">
        <f t="shared" si="3"/>
        <v>2100</v>
      </c>
      <c r="L35" s="11">
        <f>G35-'7'!D35</f>
        <v>4</v>
      </c>
      <c r="M35" s="13">
        <f t="shared" si="4"/>
        <v>560</v>
      </c>
    </row>
    <row r="36" spans="1:13">
      <c r="A36" s="7" t="s">
        <v>36</v>
      </c>
      <c r="B36" s="7" t="s">
        <v>37</v>
      </c>
      <c r="C36" s="9">
        <v>125</v>
      </c>
      <c r="D36" s="10">
        <v>16</v>
      </c>
      <c r="E36" s="10"/>
      <c r="F36" s="9">
        <f t="shared" si="0"/>
        <v>0</v>
      </c>
      <c r="G36" s="11">
        <f t="shared" si="1"/>
        <v>16</v>
      </c>
      <c r="H36" s="12">
        <v>2050.54</v>
      </c>
      <c r="I36" s="13">
        <f t="shared" si="2"/>
        <v>32808.639999999999</v>
      </c>
      <c r="J36" s="14">
        <v>2175</v>
      </c>
      <c r="K36" s="13">
        <f t="shared" si="3"/>
        <v>34800</v>
      </c>
      <c r="L36" s="11">
        <f>G36-'7'!D36</f>
        <v>4</v>
      </c>
      <c r="M36" s="13">
        <f t="shared" si="4"/>
        <v>8700</v>
      </c>
    </row>
    <row r="37" spans="1:13">
      <c r="A37" s="7" t="s">
        <v>38</v>
      </c>
      <c r="B37" s="7" t="s">
        <v>17</v>
      </c>
      <c r="C37" s="9">
        <v>20</v>
      </c>
      <c r="D37" s="10">
        <v>2</v>
      </c>
      <c r="E37" s="10"/>
      <c r="F37" s="9">
        <f t="shared" si="0"/>
        <v>0</v>
      </c>
      <c r="G37" s="11">
        <f t="shared" si="1"/>
        <v>2</v>
      </c>
      <c r="H37" s="12">
        <v>399.19</v>
      </c>
      <c r="I37" s="13">
        <f t="shared" si="2"/>
        <v>798.38</v>
      </c>
      <c r="J37" s="14">
        <v>420</v>
      </c>
      <c r="K37" s="13">
        <f t="shared" si="3"/>
        <v>840</v>
      </c>
      <c r="L37" s="11">
        <f>G37-'7'!D37</f>
        <v>0</v>
      </c>
      <c r="M37" s="13">
        <f t="shared" si="4"/>
        <v>0</v>
      </c>
    </row>
    <row r="38" spans="1:13">
      <c r="A38" s="7" t="s">
        <v>38</v>
      </c>
      <c r="B38" s="7" t="s">
        <v>18</v>
      </c>
      <c r="C38" s="9">
        <v>20</v>
      </c>
      <c r="D38" s="10"/>
      <c r="E38" s="10"/>
      <c r="F38" s="9">
        <f t="shared" si="0"/>
        <v>0</v>
      </c>
      <c r="G38" s="11">
        <f t="shared" si="1"/>
        <v>0</v>
      </c>
      <c r="H38" s="12">
        <v>399.19</v>
      </c>
      <c r="I38" s="13">
        <f t="shared" si="2"/>
        <v>0</v>
      </c>
      <c r="J38" s="14">
        <v>420</v>
      </c>
      <c r="K38" s="13">
        <f t="shared" si="3"/>
        <v>0</v>
      </c>
      <c r="L38" s="11">
        <f>G38-'7'!D38</f>
        <v>0</v>
      </c>
      <c r="M38" s="13">
        <f t="shared" si="4"/>
        <v>0</v>
      </c>
    </row>
    <row r="39" spans="1:13">
      <c r="A39" s="7" t="s">
        <v>38</v>
      </c>
      <c r="B39" s="7" t="s">
        <v>21</v>
      </c>
      <c r="C39" s="9">
        <v>20</v>
      </c>
      <c r="D39" s="10"/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f>G39-'7'!D39</f>
        <v>0</v>
      </c>
      <c r="M39" s="13">
        <f t="shared" si="4"/>
        <v>0</v>
      </c>
    </row>
    <row r="40" spans="1:13">
      <c r="A40" s="7" t="s">
        <v>39</v>
      </c>
      <c r="B40" s="7" t="s">
        <v>35</v>
      </c>
      <c r="C40" s="9">
        <v>9</v>
      </c>
      <c r="D40" s="10">
        <v>73</v>
      </c>
      <c r="E40" s="10"/>
      <c r="F40" s="9">
        <f t="shared" si="0"/>
        <v>0</v>
      </c>
      <c r="G40" s="11">
        <f t="shared" si="1"/>
        <v>73</v>
      </c>
      <c r="H40" s="12">
        <v>174.19</v>
      </c>
      <c r="I40" s="13">
        <f t="shared" si="2"/>
        <v>12715.869999999999</v>
      </c>
      <c r="J40" s="14">
        <v>185</v>
      </c>
      <c r="K40" s="13">
        <f t="shared" si="3"/>
        <v>13505</v>
      </c>
      <c r="L40" s="11">
        <f>G40-'7'!D40</f>
        <v>0</v>
      </c>
      <c r="M40" s="13">
        <f t="shared" si="4"/>
        <v>0</v>
      </c>
    </row>
    <row r="41" spans="1:13">
      <c r="A41" s="7" t="s">
        <v>40</v>
      </c>
      <c r="B41" s="7" t="s">
        <v>13</v>
      </c>
      <c r="C41" s="9">
        <v>35</v>
      </c>
      <c r="D41" s="10">
        <v>29</v>
      </c>
      <c r="E41" s="10"/>
      <c r="F41" s="9">
        <f t="shared" si="0"/>
        <v>0</v>
      </c>
      <c r="G41" s="11">
        <f t="shared" si="1"/>
        <v>29</v>
      </c>
      <c r="H41" s="12">
        <v>748.13</v>
      </c>
      <c r="I41" s="13">
        <f t="shared" si="2"/>
        <v>21695.77</v>
      </c>
      <c r="J41" s="14">
        <v>795</v>
      </c>
      <c r="K41" s="13">
        <f t="shared" si="3"/>
        <v>23055</v>
      </c>
      <c r="L41" s="11">
        <f>G41-'7'!D41</f>
        <v>2</v>
      </c>
      <c r="M41" s="13">
        <f t="shared" si="4"/>
        <v>1590</v>
      </c>
    </row>
    <row r="42" spans="1:13">
      <c r="A42" s="7" t="s">
        <v>41</v>
      </c>
      <c r="B42" s="7" t="s">
        <v>17</v>
      </c>
      <c r="C42" s="9">
        <v>40</v>
      </c>
      <c r="D42" s="10">
        <v>20</v>
      </c>
      <c r="E42" s="10"/>
      <c r="F42" s="9">
        <f t="shared" si="0"/>
        <v>0</v>
      </c>
      <c r="G42" s="11">
        <f t="shared" si="1"/>
        <v>20</v>
      </c>
      <c r="H42" s="12">
        <v>842.86</v>
      </c>
      <c r="I42" s="13">
        <f t="shared" si="2"/>
        <v>16857.2</v>
      </c>
      <c r="J42" s="14">
        <v>900</v>
      </c>
      <c r="K42" s="13">
        <f t="shared" si="3"/>
        <v>18000</v>
      </c>
      <c r="L42" s="11">
        <f>G42-'7'!D42</f>
        <v>8</v>
      </c>
      <c r="M42" s="13">
        <f t="shared" si="4"/>
        <v>7200</v>
      </c>
    </row>
    <row r="43" spans="1:13">
      <c r="A43" s="7" t="s">
        <v>41</v>
      </c>
      <c r="B43" s="7" t="s">
        <v>18</v>
      </c>
      <c r="C43" s="9">
        <v>40</v>
      </c>
      <c r="D43" s="10">
        <v>31</v>
      </c>
      <c r="E43" s="10"/>
      <c r="F43" s="9">
        <f t="shared" si="0"/>
        <v>0</v>
      </c>
      <c r="G43" s="11">
        <f t="shared" si="1"/>
        <v>31</v>
      </c>
      <c r="H43" s="12">
        <v>842.86</v>
      </c>
      <c r="I43" s="13">
        <f t="shared" si="2"/>
        <v>26128.66</v>
      </c>
      <c r="J43" s="14">
        <v>900</v>
      </c>
      <c r="K43" s="13">
        <f t="shared" si="3"/>
        <v>27900</v>
      </c>
      <c r="L43" s="11">
        <f>G43-'7'!D43</f>
        <v>4</v>
      </c>
      <c r="M43" s="13">
        <f t="shared" si="4"/>
        <v>3600</v>
      </c>
    </row>
    <row r="44" spans="1:13">
      <c r="A44" s="7" t="s">
        <v>41</v>
      </c>
      <c r="B44" s="7" t="s">
        <v>19</v>
      </c>
      <c r="C44" s="9">
        <v>40</v>
      </c>
      <c r="D44" s="10"/>
      <c r="E44" s="10"/>
      <c r="F44" s="9">
        <f t="shared" si="0"/>
        <v>0</v>
      </c>
      <c r="G44" s="11">
        <f t="shared" si="1"/>
        <v>0</v>
      </c>
      <c r="H44" s="12">
        <v>839.68</v>
      </c>
      <c r="I44" s="13">
        <f t="shared" si="2"/>
        <v>0</v>
      </c>
      <c r="J44" s="14">
        <v>900</v>
      </c>
      <c r="K44" s="13">
        <f t="shared" si="3"/>
        <v>0</v>
      </c>
      <c r="L44" s="11">
        <f>G44-'7'!D44</f>
        <v>0</v>
      </c>
      <c r="M44" s="13">
        <f t="shared" si="4"/>
        <v>0</v>
      </c>
    </row>
    <row r="45" spans="1:13">
      <c r="A45" s="7" t="s">
        <v>41</v>
      </c>
      <c r="B45" s="7" t="s">
        <v>20</v>
      </c>
      <c r="C45" s="9">
        <v>40</v>
      </c>
      <c r="D45" s="10"/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f>G45-'7'!D45</f>
        <v>0</v>
      </c>
      <c r="M45" s="13">
        <f t="shared" si="4"/>
        <v>0</v>
      </c>
    </row>
    <row r="46" spans="1:13">
      <c r="A46" s="7" t="s">
        <v>41</v>
      </c>
      <c r="B46" s="7" t="s">
        <v>21</v>
      </c>
      <c r="C46" s="9">
        <v>40</v>
      </c>
      <c r="D46" s="10"/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f>G46-'7'!D46</f>
        <v>0</v>
      </c>
      <c r="M46" s="13">
        <f t="shared" si="4"/>
        <v>0</v>
      </c>
    </row>
    <row r="47" spans="1:13">
      <c r="A47" s="7" t="s">
        <v>42</v>
      </c>
      <c r="B47" s="7" t="s">
        <v>29</v>
      </c>
      <c r="C47" s="9">
        <v>18</v>
      </c>
      <c r="D47" s="10">
        <v>38</v>
      </c>
      <c r="E47" s="10"/>
      <c r="F47" s="9">
        <f t="shared" si="0"/>
        <v>0</v>
      </c>
      <c r="G47" s="11">
        <f t="shared" si="1"/>
        <v>38</v>
      </c>
      <c r="H47" s="12">
        <v>375.68</v>
      </c>
      <c r="I47" s="13">
        <f t="shared" si="2"/>
        <v>14275.84</v>
      </c>
      <c r="J47" s="14">
        <v>400</v>
      </c>
      <c r="K47" s="13">
        <f t="shared" si="3"/>
        <v>15200</v>
      </c>
      <c r="L47" s="11">
        <f>G47-'7'!D47</f>
        <v>1</v>
      </c>
      <c r="M47" s="13">
        <f t="shared" si="4"/>
        <v>400</v>
      </c>
    </row>
    <row r="48" spans="1:13">
      <c r="A48" s="7" t="s">
        <v>54</v>
      </c>
      <c r="B48" s="7" t="s">
        <v>44</v>
      </c>
      <c r="C48" s="9">
        <v>50</v>
      </c>
      <c r="D48" s="11">
        <v>60</v>
      </c>
      <c r="E48" s="11"/>
      <c r="F48" s="9">
        <f t="shared" si="0"/>
        <v>0</v>
      </c>
      <c r="G48" s="11">
        <f t="shared" si="1"/>
        <v>60</v>
      </c>
      <c r="H48" s="12">
        <v>670.32</v>
      </c>
      <c r="I48" s="13">
        <f t="shared" si="2"/>
        <v>40219.200000000004</v>
      </c>
      <c r="J48" s="14">
        <v>710</v>
      </c>
      <c r="K48" s="13">
        <f t="shared" si="3"/>
        <v>42600</v>
      </c>
      <c r="L48" s="11">
        <f>G48-'7'!D48</f>
        <v>12</v>
      </c>
      <c r="M48" s="13">
        <f t="shared" si="4"/>
        <v>8520</v>
      </c>
    </row>
    <row r="49" spans="1:13">
      <c r="A49" s="7" t="s">
        <v>43</v>
      </c>
      <c r="B49" s="7" t="s">
        <v>17</v>
      </c>
      <c r="C49" s="9">
        <v>50</v>
      </c>
      <c r="D49" s="10">
        <v>1</v>
      </c>
      <c r="E49" s="10"/>
      <c r="F49" s="9">
        <f t="shared" si="0"/>
        <v>0</v>
      </c>
      <c r="G49" s="11">
        <f t="shared" si="1"/>
        <v>1</v>
      </c>
      <c r="H49" s="12">
        <v>661.22</v>
      </c>
      <c r="I49" s="13">
        <f t="shared" si="2"/>
        <v>661.22</v>
      </c>
      <c r="J49" s="14">
        <v>710</v>
      </c>
      <c r="K49" s="13">
        <f t="shared" si="3"/>
        <v>710</v>
      </c>
      <c r="L49" s="11">
        <f>G49-'7'!D49</f>
        <v>1</v>
      </c>
      <c r="M49" s="13">
        <f t="shared" si="4"/>
        <v>710</v>
      </c>
    </row>
    <row r="50" spans="1:13">
      <c r="A50" s="7" t="s">
        <v>43</v>
      </c>
      <c r="B50" s="7" t="s">
        <v>18</v>
      </c>
      <c r="C50" s="9">
        <v>50</v>
      </c>
      <c r="D50" s="10">
        <v>4</v>
      </c>
      <c r="E50" s="10"/>
      <c r="F50" s="9">
        <f t="shared" si="0"/>
        <v>0</v>
      </c>
      <c r="G50" s="11">
        <f t="shared" si="1"/>
        <v>4</v>
      </c>
      <c r="H50" s="12">
        <v>661.22</v>
      </c>
      <c r="I50" s="13">
        <f t="shared" si="2"/>
        <v>2644.88</v>
      </c>
      <c r="J50" s="14">
        <v>710</v>
      </c>
      <c r="K50" s="13">
        <f t="shared" si="3"/>
        <v>2840</v>
      </c>
      <c r="L50" s="11">
        <f>G50-'7'!D50</f>
        <v>4</v>
      </c>
      <c r="M50" s="13">
        <f t="shared" si="4"/>
        <v>2840</v>
      </c>
    </row>
    <row r="51" spans="1:13">
      <c r="A51" s="7" t="s">
        <v>43</v>
      </c>
      <c r="B51" s="7" t="s">
        <v>19</v>
      </c>
      <c r="C51" s="9">
        <v>50</v>
      </c>
      <c r="D51" s="10"/>
      <c r="E51" s="10"/>
      <c r="F51" s="9">
        <f t="shared" si="0"/>
        <v>0</v>
      </c>
      <c r="G51" s="11">
        <f t="shared" si="1"/>
        <v>0</v>
      </c>
      <c r="H51" s="12">
        <v>661.22</v>
      </c>
      <c r="I51" s="13">
        <f t="shared" si="2"/>
        <v>0</v>
      </c>
      <c r="J51" s="14">
        <v>710</v>
      </c>
      <c r="K51" s="13">
        <f t="shared" si="3"/>
        <v>0</v>
      </c>
      <c r="L51" s="11">
        <f>G51-'7'!D51</f>
        <v>0</v>
      </c>
      <c r="M51" s="13">
        <f t="shared" si="4"/>
        <v>0</v>
      </c>
    </row>
    <row r="52" spans="1:13">
      <c r="A52" s="7" t="s">
        <v>43</v>
      </c>
      <c r="B52" s="7" t="s">
        <v>20</v>
      </c>
      <c r="C52" s="9">
        <v>50</v>
      </c>
      <c r="D52" s="10"/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f>G52-'7'!D52</f>
        <v>0</v>
      </c>
      <c r="M52" s="13">
        <f t="shared" si="4"/>
        <v>0</v>
      </c>
    </row>
    <row r="53" spans="1:13">
      <c r="A53" s="7" t="s">
        <v>43</v>
      </c>
      <c r="B53" s="7" t="s">
        <v>21</v>
      </c>
      <c r="C53" s="9">
        <v>50</v>
      </c>
      <c r="D53" s="10"/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f>G53-'7'!D53</f>
        <v>0</v>
      </c>
      <c r="M53" s="13">
        <f t="shared" si="4"/>
        <v>0</v>
      </c>
    </row>
    <row r="54" spans="1:13">
      <c r="A54" s="7" t="s">
        <v>43</v>
      </c>
      <c r="B54" s="7" t="s">
        <v>44</v>
      </c>
      <c r="C54" s="9">
        <v>85</v>
      </c>
      <c r="D54" s="10">
        <v>3</v>
      </c>
      <c r="E54" s="10"/>
      <c r="F54" s="9">
        <f t="shared" si="0"/>
        <v>0</v>
      </c>
      <c r="G54" s="11">
        <f t="shared" si="1"/>
        <v>3</v>
      </c>
      <c r="H54" s="12">
        <v>797.07</v>
      </c>
      <c r="I54" s="13">
        <f t="shared" si="2"/>
        <v>2391.21</v>
      </c>
      <c r="J54" s="14">
        <v>845</v>
      </c>
      <c r="K54" s="13">
        <f t="shared" si="3"/>
        <v>2535</v>
      </c>
      <c r="L54" s="11">
        <f>G54-'7'!D54</f>
        <v>0</v>
      </c>
      <c r="M54" s="13">
        <f t="shared" si="4"/>
        <v>0</v>
      </c>
    </row>
    <row r="55" spans="1:13">
      <c r="A55" s="7" t="s">
        <v>45</v>
      </c>
      <c r="B55" s="7" t="s">
        <v>35</v>
      </c>
      <c r="C55" s="9">
        <v>18</v>
      </c>
      <c r="D55" s="10">
        <v>1045</v>
      </c>
      <c r="E55" s="10"/>
      <c r="F55" s="9">
        <f t="shared" si="0"/>
        <v>0</v>
      </c>
      <c r="G55" s="11">
        <f t="shared" si="1"/>
        <v>1045</v>
      </c>
      <c r="H55" s="12">
        <v>160.77000000000001</v>
      </c>
      <c r="I55" s="13">
        <f t="shared" si="2"/>
        <v>168004.65000000002</v>
      </c>
      <c r="J55" s="14">
        <v>175</v>
      </c>
      <c r="K55" s="13">
        <f t="shared" si="3"/>
        <v>182875</v>
      </c>
      <c r="L55" s="11">
        <f>G55-'7'!D55</f>
        <v>48</v>
      </c>
      <c r="M55" s="13">
        <f t="shared" si="4"/>
        <v>8400</v>
      </c>
    </row>
    <row r="56" spans="1:13">
      <c r="A56" s="7" t="s">
        <v>46</v>
      </c>
      <c r="B56" s="7" t="s">
        <v>13</v>
      </c>
      <c r="C56" s="9">
        <v>70</v>
      </c>
      <c r="D56" s="10">
        <v>21</v>
      </c>
      <c r="E56" s="10"/>
      <c r="F56" s="9">
        <f t="shared" si="0"/>
        <v>0</v>
      </c>
      <c r="G56" s="11">
        <f t="shared" si="1"/>
        <v>21</v>
      </c>
      <c r="H56" s="12">
        <v>744.99</v>
      </c>
      <c r="I56" s="13">
        <f t="shared" si="2"/>
        <v>15644.79</v>
      </c>
      <c r="J56" s="14">
        <v>790</v>
      </c>
      <c r="K56" s="13">
        <f t="shared" si="3"/>
        <v>16590</v>
      </c>
      <c r="L56" s="11">
        <f>G56-'7'!D56</f>
        <v>1</v>
      </c>
      <c r="M56" s="13">
        <f t="shared" si="4"/>
        <v>790</v>
      </c>
    </row>
    <row r="57" spans="1:13">
      <c r="A57" s="7" t="s">
        <v>47</v>
      </c>
      <c r="B57" s="7" t="s">
        <v>29</v>
      </c>
      <c r="C57" s="9">
        <v>30</v>
      </c>
      <c r="D57" s="10"/>
      <c r="E57" s="10"/>
      <c r="F57" s="9">
        <f t="shared" si="0"/>
        <v>0</v>
      </c>
      <c r="G57" s="11">
        <f t="shared" si="1"/>
        <v>0</v>
      </c>
      <c r="H57" s="12">
        <v>316.14999999999998</v>
      </c>
      <c r="I57" s="13">
        <f t="shared" si="2"/>
        <v>0</v>
      </c>
      <c r="J57" s="14">
        <v>336</v>
      </c>
      <c r="K57" s="13">
        <f t="shared" si="3"/>
        <v>0</v>
      </c>
      <c r="L57" s="11">
        <f>G57-'7'!D57</f>
        <v>0</v>
      </c>
      <c r="M57" s="13">
        <f t="shared" si="4"/>
        <v>0</v>
      </c>
    </row>
    <row r="58" spans="1:13">
      <c r="A58" s="7" t="s">
        <v>48</v>
      </c>
      <c r="B58" s="7" t="s">
        <v>13</v>
      </c>
      <c r="C58" s="9">
        <v>95</v>
      </c>
      <c r="D58" s="10">
        <v>11</v>
      </c>
      <c r="E58" s="10"/>
      <c r="F58" s="9">
        <f t="shared" si="0"/>
        <v>0</v>
      </c>
      <c r="G58" s="11">
        <f t="shared" si="1"/>
        <v>11</v>
      </c>
      <c r="H58" s="12">
        <v>1042.9000000000001</v>
      </c>
      <c r="I58" s="13">
        <f t="shared" si="2"/>
        <v>11471.900000000001</v>
      </c>
      <c r="J58" s="14">
        <v>1105</v>
      </c>
      <c r="K58" s="13">
        <f t="shared" si="3"/>
        <v>12155</v>
      </c>
      <c r="L58" s="11">
        <f>G58-'7'!D58</f>
        <v>2</v>
      </c>
      <c r="M58" s="13">
        <f t="shared" si="4"/>
        <v>2210</v>
      </c>
    </row>
    <row r="59" spans="1:13">
      <c r="A59" s="7" t="s">
        <v>49</v>
      </c>
      <c r="B59" s="7" t="s">
        <v>35</v>
      </c>
      <c r="C59" s="9">
        <v>28</v>
      </c>
      <c r="D59" s="10">
        <v>33</v>
      </c>
      <c r="E59" s="10"/>
      <c r="F59" s="9">
        <f t="shared" si="0"/>
        <v>0</v>
      </c>
      <c r="G59" s="11">
        <f t="shared" si="1"/>
        <v>33</v>
      </c>
      <c r="H59" s="12">
        <v>165.06</v>
      </c>
      <c r="I59" s="13">
        <f t="shared" si="2"/>
        <v>5446.9800000000005</v>
      </c>
      <c r="J59" s="14">
        <v>180</v>
      </c>
      <c r="K59" s="13">
        <f t="shared" si="3"/>
        <v>5940</v>
      </c>
      <c r="L59" s="11">
        <f>G59-'7'!D59</f>
        <v>2</v>
      </c>
      <c r="M59" s="13">
        <f t="shared" si="4"/>
        <v>360</v>
      </c>
    </row>
    <row r="60" spans="1:13">
      <c r="A60" s="7" t="s">
        <v>50</v>
      </c>
      <c r="B60" s="7" t="s">
        <v>17</v>
      </c>
      <c r="C60" s="9">
        <v>70</v>
      </c>
      <c r="D60" s="10"/>
      <c r="E60" s="10"/>
      <c r="F60" s="9">
        <f t="shared" si="0"/>
        <v>0</v>
      </c>
      <c r="G60" s="11">
        <f t="shared" si="1"/>
        <v>0</v>
      </c>
      <c r="H60" s="12">
        <v>721.25</v>
      </c>
      <c r="I60" s="13">
        <f t="shared" si="2"/>
        <v>0</v>
      </c>
      <c r="J60" s="14">
        <v>771</v>
      </c>
      <c r="K60" s="13">
        <f t="shared" si="3"/>
        <v>0</v>
      </c>
      <c r="L60" s="11">
        <f>G60-'7'!D60</f>
        <v>0</v>
      </c>
      <c r="M60" s="13">
        <f t="shared" si="4"/>
        <v>0</v>
      </c>
    </row>
    <row r="61" spans="1:13">
      <c r="A61" s="7" t="s">
        <v>50</v>
      </c>
      <c r="B61" s="7" t="s">
        <v>18</v>
      </c>
      <c r="C61" s="9">
        <v>70</v>
      </c>
      <c r="D61" s="10"/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f>G61-'7'!D61</f>
        <v>0</v>
      </c>
      <c r="M61" s="13">
        <f t="shared" si="4"/>
        <v>0</v>
      </c>
    </row>
    <row r="62" spans="1:13">
      <c r="A62" s="7" t="s">
        <v>51</v>
      </c>
      <c r="B62" s="7" t="s">
        <v>17</v>
      </c>
      <c r="C62" s="9">
        <v>100</v>
      </c>
      <c r="D62" s="10">
        <v>179</v>
      </c>
      <c r="E62" s="10"/>
      <c r="F62" s="9">
        <f t="shared" si="0"/>
        <v>0</v>
      </c>
      <c r="G62" s="11">
        <f t="shared" si="1"/>
        <v>179</v>
      </c>
      <c r="H62" s="12">
        <v>790.89</v>
      </c>
      <c r="I62" s="13">
        <f t="shared" si="2"/>
        <v>141569.31</v>
      </c>
      <c r="J62" s="14">
        <v>845</v>
      </c>
      <c r="K62" s="13">
        <f t="shared" si="3"/>
        <v>151255</v>
      </c>
      <c r="L62" s="11">
        <f>G62-'7'!D62</f>
        <v>29</v>
      </c>
      <c r="M62" s="13">
        <f t="shared" si="4"/>
        <v>24505</v>
      </c>
    </row>
    <row r="63" spans="1:13">
      <c r="A63" s="7" t="s">
        <v>51</v>
      </c>
      <c r="B63" s="7" t="s">
        <v>18</v>
      </c>
      <c r="C63" s="9">
        <v>100</v>
      </c>
      <c r="D63" s="10">
        <v>160</v>
      </c>
      <c r="E63" s="10"/>
      <c r="F63" s="9">
        <f t="shared" si="0"/>
        <v>0</v>
      </c>
      <c r="G63" s="11">
        <f t="shared" si="1"/>
        <v>160</v>
      </c>
      <c r="H63" s="12">
        <v>790.89</v>
      </c>
      <c r="I63" s="13">
        <f t="shared" si="2"/>
        <v>126542.39999999999</v>
      </c>
      <c r="J63" s="14">
        <v>845</v>
      </c>
      <c r="K63" s="13">
        <f t="shared" si="3"/>
        <v>135200</v>
      </c>
      <c r="L63" s="11">
        <f>G63-'7'!D63</f>
        <v>24</v>
      </c>
      <c r="M63" s="13">
        <f t="shared" si="4"/>
        <v>20280</v>
      </c>
    </row>
    <row r="64" spans="1:13">
      <c r="A64" s="7" t="s">
        <v>51</v>
      </c>
      <c r="B64" s="7" t="s">
        <v>19</v>
      </c>
      <c r="C64" s="9">
        <v>100</v>
      </c>
      <c r="D64" s="10"/>
      <c r="E64" s="10"/>
      <c r="F64" s="9">
        <f t="shared" si="0"/>
        <v>0</v>
      </c>
      <c r="G64" s="11">
        <f t="shared" si="1"/>
        <v>0</v>
      </c>
      <c r="H64" s="12">
        <v>790.89</v>
      </c>
      <c r="I64" s="13">
        <f t="shared" si="2"/>
        <v>0</v>
      </c>
      <c r="J64" s="14">
        <v>845</v>
      </c>
      <c r="K64" s="13">
        <f t="shared" si="3"/>
        <v>0</v>
      </c>
      <c r="L64" s="11">
        <f>G64-'7'!D64</f>
        <v>0</v>
      </c>
      <c r="M64" s="13">
        <f t="shared" si="4"/>
        <v>0</v>
      </c>
    </row>
    <row r="65" spans="1:13">
      <c r="A65" s="7" t="s">
        <v>51</v>
      </c>
      <c r="B65" s="7" t="s">
        <v>20</v>
      </c>
      <c r="C65" s="9">
        <v>100</v>
      </c>
      <c r="D65" s="10"/>
      <c r="E65" s="11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f>G65-'7'!D65</f>
        <v>0</v>
      </c>
      <c r="M65" s="13">
        <f t="shared" si="4"/>
        <v>0</v>
      </c>
    </row>
    <row r="66" spans="1:13">
      <c r="A66" s="7" t="s">
        <v>51</v>
      </c>
      <c r="B66" s="7" t="s">
        <v>21</v>
      </c>
      <c r="C66" s="9">
        <v>100</v>
      </c>
      <c r="D66" s="10"/>
      <c r="E66" s="11"/>
      <c r="F66" s="15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f>G66-'7'!D66</f>
        <v>0</v>
      </c>
      <c r="M66" s="13">
        <f t="shared" si="4"/>
        <v>0</v>
      </c>
    </row>
    <row r="67" spans="1:13">
      <c r="A67" s="35" t="s">
        <v>52</v>
      </c>
      <c r="B67" s="36"/>
      <c r="C67" s="37"/>
      <c r="D67" s="16">
        <f>SUM(D2:D66)</f>
        <v>4156</v>
      </c>
      <c r="E67" s="17">
        <f>SUM(E2:E66)</f>
        <v>0</v>
      </c>
      <c r="F67" s="18">
        <f>SUM(F2:F66)</f>
        <v>0</v>
      </c>
      <c r="G67" s="17">
        <f>SUM(G2:G66)</f>
        <v>4156</v>
      </c>
      <c r="H67" s="19"/>
      <c r="I67" s="20">
        <f>SUM(I2:I66)</f>
        <v>1483427.0499999998</v>
      </c>
      <c r="J67" s="21">
        <f>SUM(J2:J66)</f>
        <v>39088</v>
      </c>
      <c r="K67" s="22">
        <f>SUM(K2:K66)</f>
        <v>1587975</v>
      </c>
      <c r="L67" s="23">
        <f>SUM(L2:L66)</f>
        <v>371</v>
      </c>
      <c r="M67" s="24">
        <f>SUM(M2:M66)</f>
        <v>191323</v>
      </c>
    </row>
    <row r="70" spans="1:13">
      <c r="F70" s="31"/>
    </row>
    <row r="73" spans="1:13">
      <c r="I73" s="33"/>
      <c r="J73" s="32"/>
      <c r="K73" s="33"/>
    </row>
    <row r="74" spans="1:13">
      <c r="I74" s="33"/>
      <c r="J74" s="32"/>
      <c r="K74" s="33"/>
    </row>
    <row r="75" spans="1:13">
      <c r="I75" s="33"/>
      <c r="J75" s="29"/>
      <c r="K75" s="30"/>
    </row>
    <row r="76" spans="1:13">
      <c r="D76" s="25" t="s">
        <v>53</v>
      </c>
      <c r="I76" s="33"/>
      <c r="J76" s="34"/>
      <c r="K76" s="34"/>
    </row>
    <row r="77" spans="1:13">
      <c r="I77" s="33"/>
      <c r="J77" s="32"/>
      <c r="K77" s="33"/>
    </row>
    <row r="78" spans="1:13">
      <c r="F78" s="26"/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</row>
  </sheetData>
  <mergeCells count="1">
    <mergeCell ref="A67:C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80"/>
  <sheetViews>
    <sheetView topLeftCell="A2" workbookViewId="0">
      <selection activeCell="D24" sqref="D24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464</v>
      </c>
      <c r="E2" s="11"/>
      <c r="F2" s="9">
        <f>E2*H2</f>
        <v>0</v>
      </c>
      <c r="G2" s="11">
        <f>D2+E2</f>
        <v>464</v>
      </c>
      <c r="H2" s="12">
        <v>308.13</v>
      </c>
      <c r="I2" s="13">
        <f>H2*D2</f>
        <v>142972.32</v>
      </c>
      <c r="J2" s="14">
        <v>326</v>
      </c>
      <c r="K2" s="13">
        <f>J2*D2</f>
        <v>151264</v>
      </c>
      <c r="L2" s="11">
        <f>G2-'8'!D2</f>
        <v>16</v>
      </c>
      <c r="M2" s="13">
        <f>L2*J2</f>
        <v>5216</v>
      </c>
    </row>
    <row r="3" spans="1:13">
      <c r="A3" s="7" t="s">
        <v>12</v>
      </c>
      <c r="B3" s="8" t="s">
        <v>14</v>
      </c>
      <c r="C3" s="9">
        <v>9</v>
      </c>
      <c r="D3" s="10">
        <v>62</v>
      </c>
      <c r="E3" s="11">
        <v>42</v>
      </c>
      <c r="F3" s="9">
        <f t="shared" ref="F3:F66" si="0">E3*H3</f>
        <v>12943.98</v>
      </c>
      <c r="G3" s="11">
        <f t="shared" ref="G3:G66" si="1">D3+E3</f>
        <v>104</v>
      </c>
      <c r="H3" s="12">
        <v>308.19</v>
      </c>
      <c r="I3" s="13">
        <f t="shared" ref="I3:I66" si="2">H3*D3</f>
        <v>19107.78</v>
      </c>
      <c r="J3" s="14">
        <v>326</v>
      </c>
      <c r="K3" s="13">
        <f t="shared" ref="K3:K66" si="3">J3*D3</f>
        <v>20212</v>
      </c>
      <c r="L3" s="11">
        <f>G3-'8'!D3</f>
        <v>2</v>
      </c>
      <c r="M3" s="13">
        <f t="shared" ref="M3:M66" si="4">L3*J3</f>
        <v>652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f>G4-'8'!D4</f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165</v>
      </c>
      <c r="E5" s="11">
        <v>144</v>
      </c>
      <c r="F5" s="9">
        <f t="shared" si="0"/>
        <v>25166.880000000001</v>
      </c>
      <c r="G5" s="11">
        <f t="shared" si="1"/>
        <v>309</v>
      </c>
      <c r="H5" s="12">
        <v>174.77</v>
      </c>
      <c r="I5" s="13">
        <f t="shared" si="2"/>
        <v>28837.050000000003</v>
      </c>
      <c r="J5" s="14">
        <v>192</v>
      </c>
      <c r="K5" s="13">
        <f t="shared" si="3"/>
        <v>31680</v>
      </c>
      <c r="L5" s="11">
        <f>G5-'8'!D5</f>
        <v>19</v>
      </c>
      <c r="M5" s="13">
        <f t="shared" si="4"/>
        <v>3648</v>
      </c>
    </row>
    <row r="6" spans="1:13">
      <c r="A6" s="7" t="s">
        <v>16</v>
      </c>
      <c r="B6" s="8" t="s">
        <v>18</v>
      </c>
      <c r="C6" s="9">
        <v>10</v>
      </c>
      <c r="D6" s="10">
        <v>180</v>
      </c>
      <c r="E6" s="11">
        <v>72</v>
      </c>
      <c r="F6" s="9">
        <f t="shared" si="0"/>
        <v>12583.44</v>
      </c>
      <c r="G6" s="11">
        <f t="shared" si="1"/>
        <v>252</v>
      </c>
      <c r="H6" s="12">
        <v>174.77</v>
      </c>
      <c r="I6" s="13">
        <f t="shared" si="2"/>
        <v>31458.600000000002</v>
      </c>
      <c r="J6" s="14">
        <v>192</v>
      </c>
      <c r="K6" s="13">
        <f t="shared" si="3"/>
        <v>34560</v>
      </c>
      <c r="L6" s="11">
        <f>G6-'8'!D6</f>
        <v>11</v>
      </c>
      <c r="M6" s="13">
        <f t="shared" si="4"/>
        <v>2112</v>
      </c>
    </row>
    <row r="7" spans="1:13">
      <c r="A7" s="7" t="s">
        <v>16</v>
      </c>
      <c r="B7" s="8" t="s">
        <v>19</v>
      </c>
      <c r="C7" s="9">
        <v>10</v>
      </c>
      <c r="D7" s="10">
        <v>48</v>
      </c>
      <c r="E7" s="11"/>
      <c r="F7" s="9">
        <f t="shared" si="0"/>
        <v>0</v>
      </c>
      <c r="G7" s="11">
        <f t="shared" si="1"/>
        <v>48</v>
      </c>
      <c r="H7" s="12">
        <v>174.77</v>
      </c>
      <c r="I7" s="13">
        <f t="shared" si="2"/>
        <v>8388.9600000000009</v>
      </c>
      <c r="J7" s="14">
        <v>192</v>
      </c>
      <c r="K7" s="13">
        <f t="shared" si="3"/>
        <v>9216</v>
      </c>
      <c r="L7" s="11">
        <f>G7-'8'!D7</f>
        <v>1</v>
      </c>
      <c r="M7" s="13">
        <f t="shared" si="4"/>
        <v>192</v>
      </c>
    </row>
    <row r="8" spans="1:13">
      <c r="A8" s="7" t="s">
        <v>16</v>
      </c>
      <c r="B8" s="8" t="s">
        <v>20</v>
      </c>
      <c r="C8" s="9">
        <v>10</v>
      </c>
      <c r="D8" s="10">
        <v>73</v>
      </c>
      <c r="E8" s="11"/>
      <c r="F8" s="9">
        <f t="shared" si="0"/>
        <v>0</v>
      </c>
      <c r="G8" s="11">
        <f t="shared" si="1"/>
        <v>73</v>
      </c>
      <c r="H8" s="12">
        <v>174.77</v>
      </c>
      <c r="I8" s="13">
        <f t="shared" si="2"/>
        <v>12758.210000000001</v>
      </c>
      <c r="J8" s="14">
        <v>192</v>
      </c>
      <c r="K8" s="13">
        <f t="shared" si="3"/>
        <v>14016</v>
      </c>
      <c r="L8" s="11">
        <f>G8-'8'!D8</f>
        <v>10</v>
      </c>
      <c r="M8" s="13">
        <f t="shared" si="4"/>
        <v>1920</v>
      </c>
    </row>
    <row r="9" spans="1:13">
      <c r="A9" s="7" t="s">
        <v>16</v>
      </c>
      <c r="B9" s="8" t="s">
        <v>21</v>
      </c>
      <c r="C9" s="9">
        <v>10</v>
      </c>
      <c r="D9" s="10">
        <v>169</v>
      </c>
      <c r="E9" s="11"/>
      <c r="F9" s="9">
        <f t="shared" si="0"/>
        <v>0</v>
      </c>
      <c r="G9" s="11">
        <f t="shared" si="1"/>
        <v>169</v>
      </c>
      <c r="H9" s="12">
        <v>174.77</v>
      </c>
      <c r="I9" s="13">
        <f t="shared" si="2"/>
        <v>29536.13</v>
      </c>
      <c r="J9" s="14">
        <v>192</v>
      </c>
      <c r="K9" s="13">
        <f t="shared" si="3"/>
        <v>32448</v>
      </c>
      <c r="L9" s="11">
        <f>G9-'8'!D9</f>
        <v>7</v>
      </c>
      <c r="M9" s="13">
        <f t="shared" si="4"/>
        <v>1344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f>G10-'8'!D10</f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35</v>
      </c>
      <c r="E11" s="11"/>
      <c r="F11" s="9">
        <f t="shared" si="0"/>
        <v>0</v>
      </c>
      <c r="G11" s="11">
        <f t="shared" si="1"/>
        <v>35</v>
      </c>
      <c r="H11" s="12">
        <v>470.8</v>
      </c>
      <c r="I11" s="13">
        <f t="shared" si="2"/>
        <v>16478</v>
      </c>
      <c r="J11" s="14">
        <v>505</v>
      </c>
      <c r="K11" s="13">
        <f t="shared" si="3"/>
        <v>17675</v>
      </c>
      <c r="L11" s="11">
        <f>G11-'8'!D11</f>
        <v>5</v>
      </c>
      <c r="M11" s="13">
        <f t="shared" si="4"/>
        <v>2525</v>
      </c>
    </row>
    <row r="12" spans="1:13">
      <c r="A12" s="7" t="s">
        <v>22</v>
      </c>
      <c r="B12" s="8" t="s">
        <v>17</v>
      </c>
      <c r="C12" s="9">
        <v>20</v>
      </c>
      <c r="D12" s="10">
        <v>357</v>
      </c>
      <c r="E12" s="11"/>
      <c r="F12" s="9">
        <f>E12*H12</f>
        <v>0</v>
      </c>
      <c r="G12" s="11">
        <f t="shared" si="1"/>
        <v>357</v>
      </c>
      <c r="H12" s="12">
        <v>475.77</v>
      </c>
      <c r="I12" s="13">
        <f t="shared" si="2"/>
        <v>169849.88999999998</v>
      </c>
      <c r="J12" s="14">
        <v>505</v>
      </c>
      <c r="K12" s="13">
        <f t="shared" si="3"/>
        <v>180285</v>
      </c>
      <c r="L12" s="11">
        <f>G12-'8'!D12</f>
        <v>92</v>
      </c>
      <c r="M12" s="13">
        <f t="shared" si="4"/>
        <v>46460</v>
      </c>
    </row>
    <row r="13" spans="1:13">
      <c r="A13" s="7" t="s">
        <v>22</v>
      </c>
      <c r="B13" s="8" t="s">
        <v>18</v>
      </c>
      <c r="C13" s="9">
        <v>20</v>
      </c>
      <c r="D13" s="10">
        <v>252</v>
      </c>
      <c r="E13" s="11"/>
      <c r="F13" s="9">
        <f t="shared" si="0"/>
        <v>0</v>
      </c>
      <c r="G13" s="11">
        <f t="shared" si="1"/>
        <v>252</v>
      </c>
      <c r="H13" s="12">
        <v>475.77</v>
      </c>
      <c r="I13" s="13">
        <f t="shared" si="2"/>
        <v>119894.04</v>
      </c>
      <c r="J13" s="14">
        <v>505</v>
      </c>
      <c r="K13" s="13">
        <f t="shared" si="3"/>
        <v>127260</v>
      </c>
      <c r="L13" s="11">
        <f>G13-'8'!D13</f>
        <v>40</v>
      </c>
      <c r="M13" s="13">
        <f t="shared" si="4"/>
        <v>20200</v>
      </c>
    </row>
    <row r="14" spans="1:13">
      <c r="A14" s="7" t="s">
        <v>22</v>
      </c>
      <c r="B14" s="8" t="s">
        <v>19</v>
      </c>
      <c r="C14" s="9">
        <v>20</v>
      </c>
      <c r="D14" s="10">
        <v>39</v>
      </c>
      <c r="E14" s="11"/>
      <c r="F14" s="9">
        <f t="shared" si="0"/>
        <v>0</v>
      </c>
      <c r="G14" s="11">
        <f t="shared" si="1"/>
        <v>39</v>
      </c>
      <c r="H14" s="12">
        <v>470.8</v>
      </c>
      <c r="I14" s="13">
        <f t="shared" si="2"/>
        <v>18361.2</v>
      </c>
      <c r="J14" s="14">
        <v>505</v>
      </c>
      <c r="K14" s="13">
        <f t="shared" si="3"/>
        <v>19695</v>
      </c>
      <c r="L14" s="11">
        <f>G14-'8'!D14</f>
        <v>7</v>
      </c>
      <c r="M14" s="13">
        <f t="shared" si="4"/>
        <v>3535</v>
      </c>
    </row>
    <row r="15" spans="1:13">
      <c r="A15" s="7" t="s">
        <v>22</v>
      </c>
      <c r="B15" s="8" t="s">
        <v>20</v>
      </c>
      <c r="C15" s="9">
        <v>20</v>
      </c>
      <c r="D15" s="10">
        <v>43</v>
      </c>
      <c r="E15" s="11"/>
      <c r="F15" s="9">
        <f t="shared" si="0"/>
        <v>0</v>
      </c>
      <c r="G15" s="11">
        <f t="shared" si="1"/>
        <v>43</v>
      </c>
      <c r="H15" s="12">
        <v>470.8</v>
      </c>
      <c r="I15" s="13">
        <f t="shared" si="2"/>
        <v>20244.400000000001</v>
      </c>
      <c r="J15" s="14">
        <v>505</v>
      </c>
      <c r="K15" s="13">
        <f t="shared" si="3"/>
        <v>21715</v>
      </c>
      <c r="L15" s="11">
        <f>G15-'8'!D15</f>
        <v>3</v>
      </c>
      <c r="M15" s="13">
        <f t="shared" si="4"/>
        <v>1515</v>
      </c>
    </row>
    <row r="16" spans="1:13">
      <c r="A16" s="7" t="s">
        <v>22</v>
      </c>
      <c r="B16" s="8" t="s">
        <v>21</v>
      </c>
      <c r="C16" s="9">
        <v>20</v>
      </c>
      <c r="D16" s="10"/>
      <c r="E16" s="11"/>
      <c r="F16" s="9">
        <f t="shared" si="0"/>
        <v>0</v>
      </c>
      <c r="G16" s="11">
        <f t="shared" si="1"/>
        <v>0</v>
      </c>
      <c r="H16" s="12">
        <v>470.8</v>
      </c>
      <c r="I16" s="13">
        <f t="shared" si="2"/>
        <v>0</v>
      </c>
      <c r="J16" s="14">
        <v>505</v>
      </c>
      <c r="K16" s="13">
        <f t="shared" si="3"/>
        <v>0</v>
      </c>
      <c r="L16" s="11">
        <f>G16-'8'!D16</f>
        <v>0</v>
      </c>
      <c r="M16" s="13">
        <f t="shared" si="4"/>
        <v>0</v>
      </c>
    </row>
    <row r="17" spans="1:13">
      <c r="A17" s="7" t="s">
        <v>22</v>
      </c>
      <c r="B17" s="8" t="s">
        <v>29</v>
      </c>
      <c r="C17" s="9">
        <v>11</v>
      </c>
      <c r="D17" s="10">
        <v>76</v>
      </c>
      <c r="E17" s="11"/>
      <c r="F17" s="9">
        <f t="shared" si="0"/>
        <v>0</v>
      </c>
      <c r="G17" s="11">
        <f t="shared" si="1"/>
        <v>76</v>
      </c>
      <c r="H17" s="12">
        <v>235.59</v>
      </c>
      <c r="I17" s="13">
        <f t="shared" si="2"/>
        <v>17904.84</v>
      </c>
      <c r="J17" s="14">
        <v>250</v>
      </c>
      <c r="K17" s="13">
        <f t="shared" si="3"/>
        <v>19000</v>
      </c>
      <c r="L17" s="11">
        <f>G17-'8'!D17</f>
        <v>3</v>
      </c>
      <c r="M17" s="13">
        <f t="shared" si="4"/>
        <v>750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f>G18-'8'!D18</f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/>
      <c r="E19" s="11"/>
      <c r="F19" s="9">
        <f t="shared" si="0"/>
        <v>0</v>
      </c>
      <c r="G19" s="11">
        <f t="shared" si="1"/>
        <v>0</v>
      </c>
      <c r="H19" s="12">
        <v>204</v>
      </c>
      <c r="I19" s="13">
        <f t="shared" si="2"/>
        <v>0</v>
      </c>
      <c r="J19" s="14">
        <v>230</v>
      </c>
      <c r="K19" s="13">
        <f t="shared" si="3"/>
        <v>0</v>
      </c>
      <c r="L19" s="11">
        <f>G19-'8'!D19</f>
        <v>0</v>
      </c>
      <c r="M19" s="13">
        <f t="shared" si="4"/>
        <v>0</v>
      </c>
    </row>
    <row r="20" spans="1:13">
      <c r="A20" s="7" t="s">
        <v>22</v>
      </c>
      <c r="B20" s="8" t="s">
        <v>25</v>
      </c>
      <c r="C20" s="9">
        <v>10</v>
      </c>
      <c r="D20" s="10"/>
      <c r="E20" s="11"/>
      <c r="F20" s="9">
        <f t="shared" si="0"/>
        <v>0</v>
      </c>
      <c r="G20" s="11">
        <f t="shared" si="1"/>
        <v>0</v>
      </c>
      <c r="H20" s="12">
        <v>204</v>
      </c>
      <c r="I20" s="13">
        <f>H20*D20</f>
        <v>0</v>
      </c>
      <c r="J20" s="14">
        <v>230</v>
      </c>
      <c r="K20" s="13">
        <f t="shared" si="3"/>
        <v>0</v>
      </c>
      <c r="L20" s="11">
        <f>G20-'8'!D20</f>
        <v>0</v>
      </c>
      <c r="M20" s="13">
        <f t="shared" si="4"/>
        <v>0</v>
      </c>
    </row>
    <row r="21" spans="1:13">
      <c r="A21" s="7" t="s">
        <v>22</v>
      </c>
      <c r="B21" s="8" t="s">
        <v>26</v>
      </c>
      <c r="C21" s="9">
        <v>10</v>
      </c>
      <c r="D21" s="10">
        <v>28</v>
      </c>
      <c r="E21" s="11"/>
      <c r="F21" s="9">
        <f t="shared" si="0"/>
        <v>0</v>
      </c>
      <c r="G21" s="11">
        <f t="shared" si="1"/>
        <v>28</v>
      </c>
      <c r="H21" s="12">
        <v>204</v>
      </c>
      <c r="I21" s="13">
        <f t="shared" si="2"/>
        <v>5712</v>
      </c>
      <c r="J21" s="14">
        <v>230</v>
      </c>
      <c r="K21" s="13">
        <f t="shared" si="3"/>
        <v>6440</v>
      </c>
      <c r="L21" s="11">
        <f>G21-'8'!D21</f>
        <v>0</v>
      </c>
      <c r="M21" s="13">
        <f t="shared" si="4"/>
        <v>0</v>
      </c>
    </row>
    <row r="22" spans="1:13">
      <c r="A22" s="7" t="s">
        <v>22</v>
      </c>
      <c r="B22" s="8" t="s">
        <v>13</v>
      </c>
      <c r="C22" s="9">
        <v>19</v>
      </c>
      <c r="D22" s="10">
        <v>30</v>
      </c>
      <c r="E22" s="11"/>
      <c r="F22" s="9">
        <f t="shared" si="0"/>
        <v>0</v>
      </c>
      <c r="G22" s="11">
        <f t="shared" si="1"/>
        <v>30</v>
      </c>
      <c r="H22" s="12">
        <v>474.46</v>
      </c>
      <c r="I22" s="13">
        <f t="shared" si="2"/>
        <v>14233.8</v>
      </c>
      <c r="J22" s="14">
        <v>505</v>
      </c>
      <c r="K22" s="13">
        <f t="shared" si="3"/>
        <v>15150</v>
      </c>
      <c r="L22" s="11">
        <f>G22-'8'!D22</f>
        <v>22</v>
      </c>
      <c r="M22" s="13">
        <f t="shared" si="4"/>
        <v>11110</v>
      </c>
    </row>
    <row r="23" spans="1:13">
      <c r="A23" s="7" t="s">
        <v>22</v>
      </c>
      <c r="B23" s="8" t="s">
        <v>27</v>
      </c>
      <c r="C23" s="9">
        <v>24</v>
      </c>
      <c r="D23" s="10">
        <v>35</v>
      </c>
      <c r="E23" s="11">
        <f>108+36</f>
        <v>144</v>
      </c>
      <c r="F23" s="9">
        <f t="shared" si="0"/>
        <v>85524.479999999996</v>
      </c>
      <c r="G23" s="11">
        <f t="shared" si="1"/>
        <v>179</v>
      </c>
      <c r="H23" s="12">
        <v>593.91999999999996</v>
      </c>
      <c r="I23" s="13">
        <f t="shared" si="2"/>
        <v>20787.199999999997</v>
      </c>
      <c r="J23" s="14">
        <v>630</v>
      </c>
      <c r="K23" s="13">
        <f t="shared" si="3"/>
        <v>22050</v>
      </c>
      <c r="L23" s="11">
        <f>G23-'8'!D23</f>
        <v>14</v>
      </c>
      <c r="M23" s="13">
        <f t="shared" si="4"/>
        <v>8820</v>
      </c>
    </row>
    <row r="24" spans="1:13">
      <c r="A24" s="7" t="s">
        <v>30</v>
      </c>
      <c r="B24" s="8" t="s">
        <v>17</v>
      </c>
      <c r="C24" s="9">
        <v>25</v>
      </c>
      <c r="D24" s="10">
        <v>63</v>
      </c>
      <c r="E24" s="10">
        <v>108</v>
      </c>
      <c r="F24" s="9">
        <f t="shared" si="0"/>
        <v>48956.4</v>
      </c>
      <c r="G24" s="11">
        <f t="shared" si="1"/>
        <v>171</v>
      </c>
      <c r="H24" s="12">
        <v>453.3</v>
      </c>
      <c r="I24" s="13">
        <f t="shared" si="2"/>
        <v>28557.9</v>
      </c>
      <c r="J24" s="14">
        <v>493</v>
      </c>
      <c r="K24" s="13">
        <f t="shared" si="3"/>
        <v>31059</v>
      </c>
      <c r="L24" s="11">
        <f>G24-'8'!D24</f>
        <v>0</v>
      </c>
      <c r="M24" s="13">
        <f t="shared" si="4"/>
        <v>0</v>
      </c>
    </row>
    <row r="25" spans="1:13">
      <c r="A25" s="7" t="s">
        <v>30</v>
      </c>
      <c r="B25" s="8" t="s">
        <v>18</v>
      </c>
      <c r="C25" s="9">
        <v>25</v>
      </c>
      <c r="D25" s="10">
        <v>54</v>
      </c>
      <c r="E25" s="10"/>
      <c r="F25" s="9">
        <f t="shared" si="0"/>
        <v>0</v>
      </c>
      <c r="G25" s="11">
        <f t="shared" si="1"/>
        <v>54</v>
      </c>
      <c r="H25" s="12">
        <v>453.3</v>
      </c>
      <c r="I25" s="13">
        <f t="shared" si="2"/>
        <v>24478.2</v>
      </c>
      <c r="J25" s="14">
        <v>493</v>
      </c>
      <c r="K25" s="13">
        <f t="shared" si="3"/>
        <v>26622</v>
      </c>
      <c r="L25" s="11">
        <f>G25-'8'!D25</f>
        <v>0</v>
      </c>
      <c r="M25" s="13">
        <f t="shared" si="4"/>
        <v>0</v>
      </c>
    </row>
    <row r="26" spans="1:13">
      <c r="A26" s="7" t="s">
        <v>30</v>
      </c>
      <c r="B26" s="8" t="s">
        <v>20</v>
      </c>
      <c r="C26" s="9">
        <v>25</v>
      </c>
      <c r="D26" s="10"/>
      <c r="E26" s="10"/>
      <c r="F26" s="9">
        <f t="shared" si="0"/>
        <v>0</v>
      </c>
      <c r="G26" s="11">
        <f t="shared" si="1"/>
        <v>0</v>
      </c>
      <c r="H26" s="12">
        <v>453.3</v>
      </c>
      <c r="I26" s="13">
        <f t="shared" si="2"/>
        <v>0</v>
      </c>
      <c r="J26" s="14">
        <v>493</v>
      </c>
      <c r="K26" s="13">
        <f t="shared" si="3"/>
        <v>0</v>
      </c>
      <c r="L26" s="11">
        <f>G26-'8'!D26</f>
        <v>0</v>
      </c>
      <c r="M26" s="13">
        <f t="shared" si="4"/>
        <v>0</v>
      </c>
    </row>
    <row r="27" spans="1:13">
      <c r="A27" s="7" t="s">
        <v>30</v>
      </c>
      <c r="B27" s="8" t="s">
        <v>21</v>
      </c>
      <c r="C27" s="9">
        <v>25</v>
      </c>
      <c r="D27" s="10"/>
      <c r="E27" s="10"/>
      <c r="F27" s="9">
        <f t="shared" si="0"/>
        <v>0</v>
      </c>
      <c r="G27" s="11">
        <f t="shared" si="1"/>
        <v>0</v>
      </c>
      <c r="H27" s="12">
        <v>453.3</v>
      </c>
      <c r="I27" s="13">
        <f t="shared" si="2"/>
        <v>0</v>
      </c>
      <c r="J27" s="14">
        <v>493</v>
      </c>
      <c r="K27" s="13">
        <f t="shared" si="3"/>
        <v>0</v>
      </c>
      <c r="L27" s="11">
        <f>G27-'8'!D27</f>
        <v>0</v>
      </c>
      <c r="M27" s="13">
        <f t="shared" si="4"/>
        <v>0</v>
      </c>
    </row>
    <row r="28" spans="1:13">
      <c r="A28" s="7" t="s">
        <v>31</v>
      </c>
      <c r="B28" s="7" t="s">
        <v>17</v>
      </c>
      <c r="C28" s="9">
        <v>40</v>
      </c>
      <c r="D28" s="10"/>
      <c r="E28" s="10"/>
      <c r="F28" s="9">
        <f t="shared" si="0"/>
        <v>0</v>
      </c>
      <c r="G28" s="11">
        <f t="shared" si="1"/>
        <v>0</v>
      </c>
      <c r="H28" s="12">
        <v>821.36</v>
      </c>
      <c r="I28" s="13">
        <f t="shared" si="2"/>
        <v>0</v>
      </c>
      <c r="J28" s="14">
        <v>878</v>
      </c>
      <c r="K28" s="13">
        <f t="shared" si="3"/>
        <v>0</v>
      </c>
      <c r="L28" s="11">
        <f>G28-'8'!D28</f>
        <v>0</v>
      </c>
      <c r="M28" s="13">
        <f t="shared" si="4"/>
        <v>0</v>
      </c>
    </row>
    <row r="29" spans="1:13">
      <c r="A29" s="7" t="s">
        <v>31</v>
      </c>
      <c r="B29" s="7" t="s">
        <v>18</v>
      </c>
      <c r="C29" s="9">
        <v>40</v>
      </c>
      <c r="D29" s="10"/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f>G29-'8'!D29</f>
        <v>0</v>
      </c>
      <c r="M29" s="13">
        <f t="shared" si="4"/>
        <v>0</v>
      </c>
    </row>
    <row r="30" spans="1:13">
      <c r="A30" s="7" t="s">
        <v>31</v>
      </c>
      <c r="B30" s="7" t="s">
        <v>19</v>
      </c>
      <c r="C30" s="9">
        <v>40</v>
      </c>
      <c r="D30" s="10"/>
      <c r="E30" s="10"/>
      <c r="F30" s="9">
        <f t="shared" si="0"/>
        <v>0</v>
      </c>
      <c r="G30" s="11">
        <f t="shared" si="1"/>
        <v>0</v>
      </c>
      <c r="H30" s="12">
        <v>817.58</v>
      </c>
      <c r="I30" s="13">
        <f t="shared" si="2"/>
        <v>0</v>
      </c>
      <c r="J30" s="14">
        <v>878</v>
      </c>
      <c r="K30" s="13">
        <f t="shared" si="3"/>
        <v>0</v>
      </c>
      <c r="L30" s="11">
        <f>G30-'8'!D30</f>
        <v>0</v>
      </c>
      <c r="M30" s="13">
        <f t="shared" si="4"/>
        <v>0</v>
      </c>
    </row>
    <row r="31" spans="1:13">
      <c r="A31" s="7" t="s">
        <v>31</v>
      </c>
      <c r="B31" s="7" t="s">
        <v>20</v>
      </c>
      <c r="C31" s="9">
        <v>40</v>
      </c>
      <c r="D31" s="10"/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f>G31-'8'!D31</f>
        <v>0</v>
      </c>
      <c r="M31" s="13">
        <f t="shared" si="4"/>
        <v>0</v>
      </c>
    </row>
    <row r="32" spans="1:13">
      <c r="A32" s="7" t="s">
        <v>31</v>
      </c>
      <c r="B32" s="7" t="s">
        <v>21</v>
      </c>
      <c r="C32" s="9">
        <v>40</v>
      </c>
      <c r="D32" s="10"/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f>G32-'8'!D32</f>
        <v>0</v>
      </c>
      <c r="M32" s="13">
        <f t="shared" si="4"/>
        <v>0</v>
      </c>
    </row>
    <row r="33" spans="1:13">
      <c r="A33" s="7" t="s">
        <v>31</v>
      </c>
      <c r="B33" s="7" t="s">
        <v>32</v>
      </c>
      <c r="C33" s="9">
        <v>40</v>
      </c>
      <c r="D33" s="10"/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f>G33-'8'!D33</f>
        <v>0</v>
      </c>
      <c r="M33" s="13">
        <f t="shared" si="4"/>
        <v>0</v>
      </c>
    </row>
    <row r="34" spans="1:13">
      <c r="A34" s="7" t="s">
        <v>31</v>
      </c>
      <c r="B34" s="7" t="s">
        <v>33</v>
      </c>
      <c r="C34" s="9">
        <v>60</v>
      </c>
      <c r="D34" s="10">
        <v>17</v>
      </c>
      <c r="E34" s="10"/>
      <c r="F34" s="9">
        <f t="shared" si="0"/>
        <v>0</v>
      </c>
      <c r="G34" s="11">
        <f t="shared" si="1"/>
        <v>17</v>
      </c>
      <c r="H34" s="12">
        <v>1042.6500000000001</v>
      </c>
      <c r="I34" s="13">
        <f t="shared" si="2"/>
        <v>17725.050000000003</v>
      </c>
      <c r="J34" s="14">
        <v>1110</v>
      </c>
      <c r="K34" s="13">
        <f t="shared" si="3"/>
        <v>18870</v>
      </c>
      <c r="L34" s="11">
        <f>G34-'8'!D34</f>
        <v>13</v>
      </c>
      <c r="M34" s="13">
        <f t="shared" si="4"/>
        <v>14430</v>
      </c>
    </row>
    <row r="35" spans="1:13">
      <c r="A35" s="7" t="s">
        <v>34</v>
      </c>
      <c r="B35" s="7" t="s">
        <v>35</v>
      </c>
      <c r="C35" s="9">
        <v>7</v>
      </c>
      <c r="D35" s="10">
        <v>11</v>
      </c>
      <c r="E35" s="10"/>
      <c r="F35" s="9">
        <f t="shared" si="0"/>
        <v>0</v>
      </c>
      <c r="G35" s="11">
        <f t="shared" si="1"/>
        <v>11</v>
      </c>
      <c r="H35" s="12">
        <v>126.24</v>
      </c>
      <c r="I35" s="13">
        <f t="shared" si="2"/>
        <v>1388.6399999999999</v>
      </c>
      <c r="J35" s="14">
        <v>140</v>
      </c>
      <c r="K35" s="13">
        <f t="shared" si="3"/>
        <v>1540</v>
      </c>
      <c r="L35" s="11">
        <f>G35-'8'!D35</f>
        <v>0</v>
      </c>
      <c r="M35" s="13">
        <f t="shared" si="4"/>
        <v>0</v>
      </c>
    </row>
    <row r="36" spans="1:13">
      <c r="A36" s="7" t="s">
        <v>36</v>
      </c>
      <c r="B36" s="7" t="s">
        <v>37</v>
      </c>
      <c r="C36" s="9">
        <v>125</v>
      </c>
      <c r="D36" s="10">
        <v>12</v>
      </c>
      <c r="E36" s="10"/>
      <c r="F36" s="9">
        <f t="shared" si="0"/>
        <v>0</v>
      </c>
      <c r="G36" s="11">
        <f t="shared" si="1"/>
        <v>12</v>
      </c>
      <c r="H36" s="12">
        <v>2050.54</v>
      </c>
      <c r="I36" s="13">
        <f t="shared" si="2"/>
        <v>24606.48</v>
      </c>
      <c r="J36" s="14">
        <v>2175</v>
      </c>
      <c r="K36" s="13">
        <f t="shared" si="3"/>
        <v>26100</v>
      </c>
      <c r="L36" s="11">
        <f>G36-'8'!D36</f>
        <v>1</v>
      </c>
      <c r="M36" s="13">
        <f t="shared" si="4"/>
        <v>2175</v>
      </c>
    </row>
    <row r="37" spans="1:13">
      <c r="A37" s="7" t="s">
        <v>38</v>
      </c>
      <c r="B37" s="7" t="s">
        <v>17</v>
      </c>
      <c r="C37" s="9">
        <v>20</v>
      </c>
      <c r="D37" s="10">
        <v>2</v>
      </c>
      <c r="E37" s="10"/>
      <c r="F37" s="9">
        <f t="shared" si="0"/>
        <v>0</v>
      </c>
      <c r="G37" s="11">
        <f t="shared" si="1"/>
        <v>2</v>
      </c>
      <c r="H37" s="12">
        <v>399.19</v>
      </c>
      <c r="I37" s="13">
        <f t="shared" si="2"/>
        <v>798.38</v>
      </c>
      <c r="J37" s="14">
        <v>420</v>
      </c>
      <c r="K37" s="13">
        <f t="shared" si="3"/>
        <v>840</v>
      </c>
      <c r="L37" s="11">
        <f>G37-'8'!D37</f>
        <v>0</v>
      </c>
      <c r="M37" s="13">
        <f t="shared" si="4"/>
        <v>0</v>
      </c>
    </row>
    <row r="38" spans="1:13">
      <c r="A38" s="7" t="s">
        <v>38</v>
      </c>
      <c r="B38" s="7" t="s">
        <v>18</v>
      </c>
      <c r="C38" s="9">
        <v>20</v>
      </c>
      <c r="D38" s="10"/>
      <c r="E38" s="10"/>
      <c r="F38" s="9">
        <f t="shared" si="0"/>
        <v>0</v>
      </c>
      <c r="G38" s="11">
        <f t="shared" si="1"/>
        <v>0</v>
      </c>
      <c r="H38" s="12">
        <v>399.19</v>
      </c>
      <c r="I38" s="13">
        <f t="shared" si="2"/>
        <v>0</v>
      </c>
      <c r="J38" s="14">
        <v>420</v>
      </c>
      <c r="K38" s="13">
        <f t="shared" si="3"/>
        <v>0</v>
      </c>
      <c r="L38" s="11">
        <f>G38-'8'!D38</f>
        <v>0</v>
      </c>
      <c r="M38" s="13">
        <f t="shared" si="4"/>
        <v>0</v>
      </c>
    </row>
    <row r="39" spans="1:13">
      <c r="A39" s="7" t="s">
        <v>38</v>
      </c>
      <c r="B39" s="7" t="s">
        <v>21</v>
      </c>
      <c r="C39" s="9">
        <v>20</v>
      </c>
      <c r="D39" s="10"/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f>G39-'8'!D39</f>
        <v>0</v>
      </c>
      <c r="M39" s="13">
        <f t="shared" si="4"/>
        <v>0</v>
      </c>
    </row>
    <row r="40" spans="1:13">
      <c r="A40" s="7" t="s">
        <v>39</v>
      </c>
      <c r="B40" s="7" t="s">
        <v>35</v>
      </c>
      <c r="C40" s="9">
        <v>9</v>
      </c>
      <c r="D40" s="10">
        <v>73</v>
      </c>
      <c r="E40" s="10"/>
      <c r="F40" s="9">
        <f t="shared" si="0"/>
        <v>0</v>
      </c>
      <c r="G40" s="11">
        <f t="shared" si="1"/>
        <v>73</v>
      </c>
      <c r="H40" s="12">
        <v>174.19</v>
      </c>
      <c r="I40" s="13">
        <f t="shared" si="2"/>
        <v>12715.869999999999</v>
      </c>
      <c r="J40" s="14">
        <v>185</v>
      </c>
      <c r="K40" s="13">
        <f t="shared" si="3"/>
        <v>13505</v>
      </c>
      <c r="L40" s="11">
        <f>G40-'8'!D40</f>
        <v>0</v>
      </c>
      <c r="M40" s="13">
        <f t="shared" si="4"/>
        <v>0</v>
      </c>
    </row>
    <row r="41" spans="1:13">
      <c r="A41" s="7" t="s">
        <v>40</v>
      </c>
      <c r="B41" s="7" t="s">
        <v>13</v>
      </c>
      <c r="C41" s="9">
        <v>35</v>
      </c>
      <c r="D41" s="10">
        <v>27</v>
      </c>
      <c r="E41" s="10"/>
      <c r="F41" s="9">
        <f t="shared" si="0"/>
        <v>0</v>
      </c>
      <c r="G41" s="11">
        <f t="shared" si="1"/>
        <v>27</v>
      </c>
      <c r="H41" s="12">
        <v>748.13</v>
      </c>
      <c r="I41" s="13">
        <f t="shared" si="2"/>
        <v>20199.509999999998</v>
      </c>
      <c r="J41" s="14">
        <v>795</v>
      </c>
      <c r="K41" s="13">
        <f t="shared" si="3"/>
        <v>21465</v>
      </c>
      <c r="L41" s="11">
        <f>G41-'8'!D41</f>
        <v>2</v>
      </c>
      <c r="M41" s="13">
        <f t="shared" si="4"/>
        <v>1590</v>
      </c>
    </row>
    <row r="42" spans="1:13">
      <c r="A42" s="7" t="s">
        <v>41</v>
      </c>
      <c r="B42" s="7" t="s">
        <v>17</v>
      </c>
      <c r="C42" s="9">
        <v>40</v>
      </c>
      <c r="D42" s="10">
        <v>12</v>
      </c>
      <c r="E42" s="10"/>
      <c r="F42" s="9">
        <f t="shared" si="0"/>
        <v>0</v>
      </c>
      <c r="G42" s="11">
        <f t="shared" si="1"/>
        <v>12</v>
      </c>
      <c r="H42" s="12">
        <v>842.86</v>
      </c>
      <c r="I42" s="13">
        <f t="shared" si="2"/>
        <v>10114.32</v>
      </c>
      <c r="J42" s="14">
        <v>900</v>
      </c>
      <c r="K42" s="13">
        <f t="shared" si="3"/>
        <v>10800</v>
      </c>
      <c r="L42" s="11">
        <f>G42-'8'!D42</f>
        <v>6</v>
      </c>
      <c r="M42" s="13">
        <f t="shared" si="4"/>
        <v>5400</v>
      </c>
    </row>
    <row r="43" spans="1:13">
      <c r="A43" s="7" t="s">
        <v>41</v>
      </c>
      <c r="B43" s="7" t="s">
        <v>18</v>
      </c>
      <c r="C43" s="9">
        <v>40</v>
      </c>
      <c r="D43" s="10">
        <v>27</v>
      </c>
      <c r="E43" s="10"/>
      <c r="F43" s="9">
        <f t="shared" si="0"/>
        <v>0</v>
      </c>
      <c r="G43" s="11">
        <f t="shared" si="1"/>
        <v>27</v>
      </c>
      <c r="H43" s="12">
        <v>842.86</v>
      </c>
      <c r="I43" s="13">
        <f t="shared" si="2"/>
        <v>22757.22</v>
      </c>
      <c r="J43" s="14">
        <v>900</v>
      </c>
      <c r="K43" s="13">
        <f t="shared" si="3"/>
        <v>24300</v>
      </c>
      <c r="L43" s="11">
        <f>G43-'8'!D43</f>
        <v>2</v>
      </c>
      <c r="M43" s="13">
        <f t="shared" si="4"/>
        <v>1800</v>
      </c>
    </row>
    <row r="44" spans="1:13">
      <c r="A44" s="7" t="s">
        <v>41</v>
      </c>
      <c r="B44" s="7" t="s">
        <v>19</v>
      </c>
      <c r="C44" s="9">
        <v>40</v>
      </c>
      <c r="D44" s="10"/>
      <c r="E44" s="10"/>
      <c r="F44" s="9">
        <f t="shared" si="0"/>
        <v>0</v>
      </c>
      <c r="G44" s="11">
        <f t="shared" si="1"/>
        <v>0</v>
      </c>
      <c r="H44" s="12">
        <v>839.68</v>
      </c>
      <c r="I44" s="13">
        <f t="shared" si="2"/>
        <v>0</v>
      </c>
      <c r="J44" s="14">
        <v>900</v>
      </c>
      <c r="K44" s="13">
        <f t="shared" si="3"/>
        <v>0</v>
      </c>
      <c r="L44" s="11">
        <f>G44-'8'!D44</f>
        <v>0</v>
      </c>
      <c r="M44" s="13">
        <f t="shared" si="4"/>
        <v>0</v>
      </c>
    </row>
    <row r="45" spans="1:13">
      <c r="A45" s="7" t="s">
        <v>41</v>
      </c>
      <c r="B45" s="7" t="s">
        <v>20</v>
      </c>
      <c r="C45" s="9">
        <v>40</v>
      </c>
      <c r="D45" s="10"/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f>G45-'8'!D45</f>
        <v>0</v>
      </c>
      <c r="M45" s="13">
        <f t="shared" si="4"/>
        <v>0</v>
      </c>
    </row>
    <row r="46" spans="1:13">
      <c r="A46" s="7" t="s">
        <v>41</v>
      </c>
      <c r="B46" s="7" t="s">
        <v>21</v>
      </c>
      <c r="C46" s="9">
        <v>40</v>
      </c>
      <c r="D46" s="10"/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f>G46-'8'!D46</f>
        <v>0</v>
      </c>
      <c r="M46" s="13">
        <f t="shared" si="4"/>
        <v>0</v>
      </c>
    </row>
    <row r="47" spans="1:13">
      <c r="A47" s="7" t="s">
        <v>42</v>
      </c>
      <c r="B47" s="7" t="s">
        <v>29</v>
      </c>
      <c r="C47" s="9">
        <v>18</v>
      </c>
      <c r="D47" s="10">
        <v>37</v>
      </c>
      <c r="E47" s="10"/>
      <c r="F47" s="9">
        <f t="shared" si="0"/>
        <v>0</v>
      </c>
      <c r="G47" s="11">
        <f t="shared" si="1"/>
        <v>37</v>
      </c>
      <c r="H47" s="12">
        <v>375.68</v>
      </c>
      <c r="I47" s="13">
        <f t="shared" si="2"/>
        <v>13900.16</v>
      </c>
      <c r="J47" s="14">
        <v>400</v>
      </c>
      <c r="K47" s="13">
        <f t="shared" si="3"/>
        <v>14800</v>
      </c>
      <c r="L47" s="11">
        <f>G47-'8'!D47</f>
        <v>3</v>
      </c>
      <c r="M47" s="13">
        <f t="shared" si="4"/>
        <v>1200</v>
      </c>
    </row>
    <row r="48" spans="1:13">
      <c r="A48" s="7" t="s">
        <v>54</v>
      </c>
      <c r="B48" s="7" t="s">
        <v>44</v>
      </c>
      <c r="C48" s="9">
        <v>50</v>
      </c>
      <c r="D48" s="11">
        <v>48</v>
      </c>
      <c r="E48" s="11"/>
      <c r="F48" s="9">
        <f t="shared" si="0"/>
        <v>0</v>
      </c>
      <c r="G48" s="11">
        <f t="shared" si="1"/>
        <v>48</v>
      </c>
      <c r="H48" s="12">
        <v>670.32</v>
      </c>
      <c r="I48" s="13">
        <f t="shared" si="2"/>
        <v>32175.360000000001</v>
      </c>
      <c r="J48" s="14">
        <v>710</v>
      </c>
      <c r="K48" s="13">
        <f t="shared" si="3"/>
        <v>34080</v>
      </c>
      <c r="L48" s="11">
        <f>G48-'8'!D48</f>
        <v>7</v>
      </c>
      <c r="M48" s="13">
        <f t="shared" si="4"/>
        <v>4970</v>
      </c>
    </row>
    <row r="49" spans="1:13">
      <c r="A49" s="7" t="s">
        <v>43</v>
      </c>
      <c r="B49" s="7" t="s">
        <v>17</v>
      </c>
      <c r="C49" s="9">
        <v>50</v>
      </c>
      <c r="D49" s="10">
        <v>0</v>
      </c>
      <c r="E49" s="10">
        <v>55</v>
      </c>
      <c r="F49" s="9">
        <f t="shared" si="0"/>
        <v>36367.1</v>
      </c>
      <c r="G49" s="11">
        <f t="shared" si="1"/>
        <v>55</v>
      </c>
      <c r="H49" s="12">
        <v>661.22</v>
      </c>
      <c r="I49" s="13">
        <f t="shared" si="2"/>
        <v>0</v>
      </c>
      <c r="J49" s="14">
        <v>710</v>
      </c>
      <c r="K49" s="13">
        <f t="shared" si="3"/>
        <v>0</v>
      </c>
      <c r="L49" s="11">
        <f>G49-'8'!D49</f>
        <v>20</v>
      </c>
      <c r="M49" s="13">
        <f t="shared" si="4"/>
        <v>14200</v>
      </c>
    </row>
    <row r="50" spans="1:13">
      <c r="A50" s="7" t="s">
        <v>43</v>
      </c>
      <c r="B50" s="7" t="s">
        <v>18</v>
      </c>
      <c r="C50" s="9">
        <v>50</v>
      </c>
      <c r="D50" s="10">
        <v>0</v>
      </c>
      <c r="E50" s="10">
        <v>55</v>
      </c>
      <c r="F50" s="9">
        <f t="shared" si="0"/>
        <v>36367.1</v>
      </c>
      <c r="G50" s="11">
        <f t="shared" si="1"/>
        <v>55</v>
      </c>
      <c r="H50" s="12">
        <v>661.22</v>
      </c>
      <c r="I50" s="13">
        <f t="shared" si="2"/>
        <v>0</v>
      </c>
      <c r="J50" s="14">
        <v>710</v>
      </c>
      <c r="K50" s="13">
        <f t="shared" si="3"/>
        <v>0</v>
      </c>
      <c r="L50" s="11">
        <f>G50-'8'!D50</f>
        <v>9</v>
      </c>
      <c r="M50" s="13">
        <f t="shared" si="4"/>
        <v>6390</v>
      </c>
    </row>
    <row r="51" spans="1:13">
      <c r="A51" s="7" t="s">
        <v>43</v>
      </c>
      <c r="B51" s="7" t="s">
        <v>19</v>
      </c>
      <c r="C51" s="9">
        <v>50</v>
      </c>
      <c r="D51" s="10"/>
      <c r="E51" s="10"/>
      <c r="F51" s="9">
        <f t="shared" si="0"/>
        <v>0</v>
      </c>
      <c r="G51" s="11">
        <f t="shared" si="1"/>
        <v>0</v>
      </c>
      <c r="H51" s="12">
        <v>661.22</v>
      </c>
      <c r="I51" s="13">
        <f t="shared" si="2"/>
        <v>0</v>
      </c>
      <c r="J51" s="14">
        <v>710</v>
      </c>
      <c r="K51" s="13">
        <f t="shared" si="3"/>
        <v>0</v>
      </c>
      <c r="L51" s="11">
        <f>G51-'8'!D51</f>
        <v>0</v>
      </c>
      <c r="M51" s="13">
        <f t="shared" si="4"/>
        <v>0</v>
      </c>
    </row>
    <row r="52" spans="1:13">
      <c r="A52" s="7" t="s">
        <v>43</v>
      </c>
      <c r="B52" s="7" t="s">
        <v>20</v>
      </c>
      <c r="C52" s="9">
        <v>50</v>
      </c>
      <c r="D52" s="10"/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f>G52-'8'!D52</f>
        <v>0</v>
      </c>
      <c r="M52" s="13">
        <f t="shared" si="4"/>
        <v>0</v>
      </c>
    </row>
    <row r="53" spans="1:13">
      <c r="A53" s="7" t="s">
        <v>43</v>
      </c>
      <c r="B53" s="7" t="s">
        <v>21</v>
      </c>
      <c r="C53" s="9">
        <v>50</v>
      </c>
      <c r="D53" s="10"/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f>G53-'8'!D53</f>
        <v>0</v>
      </c>
      <c r="M53" s="13">
        <f t="shared" si="4"/>
        <v>0</v>
      </c>
    </row>
    <row r="54" spans="1:13">
      <c r="A54" s="7" t="s">
        <v>43</v>
      </c>
      <c r="B54" s="7" t="s">
        <v>44</v>
      </c>
      <c r="C54" s="9">
        <v>85</v>
      </c>
      <c r="D54" s="10">
        <v>3</v>
      </c>
      <c r="E54" s="10"/>
      <c r="F54" s="9">
        <f t="shared" si="0"/>
        <v>0</v>
      </c>
      <c r="G54" s="11">
        <f t="shared" si="1"/>
        <v>3</v>
      </c>
      <c r="H54" s="12">
        <v>797.07</v>
      </c>
      <c r="I54" s="13">
        <f t="shared" si="2"/>
        <v>2391.21</v>
      </c>
      <c r="J54" s="14">
        <v>845</v>
      </c>
      <c r="K54" s="13">
        <f t="shared" si="3"/>
        <v>2535</v>
      </c>
      <c r="L54" s="11">
        <f>G54-'8'!D54</f>
        <v>0</v>
      </c>
      <c r="M54" s="13">
        <f t="shared" si="4"/>
        <v>0</v>
      </c>
    </row>
    <row r="55" spans="1:13">
      <c r="A55" s="7" t="s">
        <v>45</v>
      </c>
      <c r="B55" s="7" t="s">
        <v>35</v>
      </c>
      <c r="C55" s="9">
        <v>18</v>
      </c>
      <c r="D55" s="10">
        <v>997</v>
      </c>
      <c r="E55" s="10">
        <v>180</v>
      </c>
      <c r="F55" s="9">
        <f t="shared" si="0"/>
        <v>28938.600000000002</v>
      </c>
      <c r="G55" s="11">
        <f t="shared" si="1"/>
        <v>1177</v>
      </c>
      <c r="H55" s="12">
        <v>160.77000000000001</v>
      </c>
      <c r="I55" s="13">
        <f t="shared" si="2"/>
        <v>160287.69</v>
      </c>
      <c r="J55" s="14">
        <v>175</v>
      </c>
      <c r="K55" s="13">
        <f t="shared" si="3"/>
        <v>174475</v>
      </c>
      <c r="L55" s="11">
        <f>G55-'8'!D55</f>
        <v>46</v>
      </c>
      <c r="M55" s="13">
        <f t="shared" si="4"/>
        <v>8050</v>
      </c>
    </row>
    <row r="56" spans="1:13">
      <c r="A56" s="7" t="s">
        <v>46</v>
      </c>
      <c r="B56" s="7" t="s">
        <v>13</v>
      </c>
      <c r="C56" s="9">
        <v>70</v>
      </c>
      <c r="D56" s="10">
        <v>20</v>
      </c>
      <c r="E56" s="10"/>
      <c r="F56" s="9">
        <f t="shared" si="0"/>
        <v>0</v>
      </c>
      <c r="G56" s="11">
        <f t="shared" si="1"/>
        <v>20</v>
      </c>
      <c r="H56" s="12">
        <v>744.99</v>
      </c>
      <c r="I56" s="13">
        <f t="shared" si="2"/>
        <v>14899.8</v>
      </c>
      <c r="J56" s="14">
        <v>790</v>
      </c>
      <c r="K56" s="13">
        <f t="shared" si="3"/>
        <v>15800</v>
      </c>
      <c r="L56" s="11">
        <f>G56-'8'!D56</f>
        <v>0</v>
      </c>
      <c r="M56" s="13">
        <f t="shared" si="4"/>
        <v>0</v>
      </c>
    </row>
    <row r="57" spans="1:13">
      <c r="A57" s="7" t="s">
        <v>47</v>
      </c>
      <c r="B57" s="7" t="s">
        <v>29</v>
      </c>
      <c r="C57" s="9">
        <v>30</v>
      </c>
      <c r="D57" s="10"/>
      <c r="E57" s="10"/>
      <c r="F57" s="9">
        <f t="shared" si="0"/>
        <v>0</v>
      </c>
      <c r="G57" s="11">
        <f t="shared" si="1"/>
        <v>0</v>
      </c>
      <c r="H57" s="12">
        <v>316.14999999999998</v>
      </c>
      <c r="I57" s="13">
        <f t="shared" si="2"/>
        <v>0</v>
      </c>
      <c r="J57" s="14">
        <v>336</v>
      </c>
      <c r="K57" s="13">
        <f t="shared" si="3"/>
        <v>0</v>
      </c>
      <c r="L57" s="11">
        <f>G57-'8'!D57</f>
        <v>0</v>
      </c>
      <c r="M57" s="13">
        <f t="shared" si="4"/>
        <v>0</v>
      </c>
    </row>
    <row r="58" spans="1:13">
      <c r="A58" s="7" t="s">
        <v>48</v>
      </c>
      <c r="B58" s="7" t="s">
        <v>13</v>
      </c>
      <c r="C58" s="9">
        <v>95</v>
      </c>
      <c r="D58" s="10">
        <v>9</v>
      </c>
      <c r="E58" s="10"/>
      <c r="F58" s="9">
        <f t="shared" si="0"/>
        <v>0</v>
      </c>
      <c r="G58" s="11">
        <f t="shared" si="1"/>
        <v>9</v>
      </c>
      <c r="H58" s="12">
        <v>1042.9000000000001</v>
      </c>
      <c r="I58" s="13">
        <f t="shared" si="2"/>
        <v>9386.1</v>
      </c>
      <c r="J58" s="14">
        <v>1105</v>
      </c>
      <c r="K58" s="13">
        <f t="shared" si="3"/>
        <v>9945</v>
      </c>
      <c r="L58" s="11">
        <f>G58-'8'!D58</f>
        <v>0</v>
      </c>
      <c r="M58" s="13">
        <f t="shared" si="4"/>
        <v>0</v>
      </c>
    </row>
    <row r="59" spans="1:13">
      <c r="A59" s="7" t="s">
        <v>49</v>
      </c>
      <c r="B59" s="7" t="s">
        <v>35</v>
      </c>
      <c r="C59" s="9">
        <v>28</v>
      </c>
      <c r="D59" s="10">
        <v>31</v>
      </c>
      <c r="E59" s="10"/>
      <c r="F59" s="9">
        <f t="shared" si="0"/>
        <v>0</v>
      </c>
      <c r="G59" s="11">
        <f t="shared" si="1"/>
        <v>31</v>
      </c>
      <c r="H59" s="12">
        <v>165.06</v>
      </c>
      <c r="I59" s="13">
        <f t="shared" si="2"/>
        <v>5116.8599999999997</v>
      </c>
      <c r="J59" s="14">
        <v>180</v>
      </c>
      <c r="K59" s="13">
        <f t="shared" si="3"/>
        <v>5580</v>
      </c>
      <c r="L59" s="11">
        <f>G59-'8'!D59</f>
        <v>2</v>
      </c>
      <c r="M59" s="13">
        <f t="shared" si="4"/>
        <v>360</v>
      </c>
    </row>
    <row r="60" spans="1:13">
      <c r="A60" s="7" t="s">
        <v>50</v>
      </c>
      <c r="B60" s="7" t="s">
        <v>17</v>
      </c>
      <c r="C60" s="9">
        <v>70</v>
      </c>
      <c r="D60" s="10"/>
      <c r="E60" s="10"/>
      <c r="F60" s="9">
        <f t="shared" si="0"/>
        <v>0</v>
      </c>
      <c r="G60" s="11">
        <f t="shared" si="1"/>
        <v>0</v>
      </c>
      <c r="H60" s="12">
        <v>721.25</v>
      </c>
      <c r="I60" s="13">
        <f t="shared" si="2"/>
        <v>0</v>
      </c>
      <c r="J60" s="14">
        <v>771</v>
      </c>
      <c r="K60" s="13">
        <f t="shared" si="3"/>
        <v>0</v>
      </c>
      <c r="L60" s="11">
        <f>G60-'8'!D60</f>
        <v>0</v>
      </c>
      <c r="M60" s="13">
        <f t="shared" si="4"/>
        <v>0</v>
      </c>
    </row>
    <row r="61" spans="1:13">
      <c r="A61" s="7" t="s">
        <v>50</v>
      </c>
      <c r="B61" s="7" t="s">
        <v>18</v>
      </c>
      <c r="C61" s="9">
        <v>70</v>
      </c>
      <c r="D61" s="10"/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f>G61-'8'!D61</f>
        <v>0</v>
      </c>
      <c r="M61" s="13">
        <f t="shared" si="4"/>
        <v>0</v>
      </c>
    </row>
    <row r="62" spans="1:13">
      <c r="A62" s="7" t="s">
        <v>51</v>
      </c>
      <c r="B62" s="7" t="s">
        <v>17</v>
      </c>
      <c r="C62" s="9">
        <v>100</v>
      </c>
      <c r="D62" s="10">
        <v>150</v>
      </c>
      <c r="E62" s="10"/>
      <c r="F62" s="9">
        <f t="shared" si="0"/>
        <v>0</v>
      </c>
      <c r="G62" s="11">
        <f t="shared" si="1"/>
        <v>150</v>
      </c>
      <c r="H62" s="12">
        <v>790.89</v>
      </c>
      <c r="I62" s="13">
        <f t="shared" si="2"/>
        <v>118633.5</v>
      </c>
      <c r="J62" s="14">
        <v>845</v>
      </c>
      <c r="K62" s="13">
        <f t="shared" si="3"/>
        <v>126750</v>
      </c>
      <c r="L62" s="11">
        <f>G62-'8'!D62</f>
        <v>41</v>
      </c>
      <c r="M62" s="13">
        <f t="shared" si="4"/>
        <v>34645</v>
      </c>
    </row>
    <row r="63" spans="1:13">
      <c r="A63" s="7" t="s">
        <v>51</v>
      </c>
      <c r="B63" s="7" t="s">
        <v>18</v>
      </c>
      <c r="C63" s="9">
        <v>100</v>
      </c>
      <c r="D63" s="10">
        <v>136</v>
      </c>
      <c r="E63" s="10"/>
      <c r="F63" s="9">
        <f t="shared" si="0"/>
        <v>0</v>
      </c>
      <c r="G63" s="11">
        <f t="shared" si="1"/>
        <v>136</v>
      </c>
      <c r="H63" s="12">
        <v>790.89</v>
      </c>
      <c r="I63" s="13">
        <f t="shared" si="2"/>
        <v>107561.04</v>
      </c>
      <c r="J63" s="14">
        <v>845</v>
      </c>
      <c r="K63" s="13">
        <f t="shared" si="3"/>
        <v>114920</v>
      </c>
      <c r="L63" s="11">
        <f>G63-'8'!D63</f>
        <v>28</v>
      </c>
      <c r="M63" s="13">
        <f t="shared" si="4"/>
        <v>23660</v>
      </c>
    </row>
    <row r="64" spans="1:13">
      <c r="A64" s="7" t="s">
        <v>51</v>
      </c>
      <c r="B64" s="7" t="s">
        <v>19</v>
      </c>
      <c r="C64" s="9">
        <v>100</v>
      </c>
      <c r="D64" s="10"/>
      <c r="E64" s="10"/>
      <c r="F64" s="9">
        <f t="shared" si="0"/>
        <v>0</v>
      </c>
      <c r="G64" s="11">
        <f t="shared" si="1"/>
        <v>0</v>
      </c>
      <c r="H64" s="12">
        <v>790.89</v>
      </c>
      <c r="I64" s="13">
        <f t="shared" si="2"/>
        <v>0</v>
      </c>
      <c r="J64" s="14">
        <v>845</v>
      </c>
      <c r="K64" s="13">
        <f t="shared" si="3"/>
        <v>0</v>
      </c>
      <c r="L64" s="11">
        <f>G64-'8'!D64</f>
        <v>0</v>
      </c>
      <c r="M64" s="13">
        <f t="shared" si="4"/>
        <v>0</v>
      </c>
    </row>
    <row r="65" spans="1:13">
      <c r="A65" s="7" t="s">
        <v>51</v>
      </c>
      <c r="B65" s="7" t="s">
        <v>20</v>
      </c>
      <c r="C65" s="9">
        <v>100</v>
      </c>
      <c r="D65" s="10"/>
      <c r="E65" s="11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f>G65-'8'!D65</f>
        <v>0</v>
      </c>
      <c r="M65" s="13">
        <f t="shared" si="4"/>
        <v>0</v>
      </c>
    </row>
    <row r="66" spans="1:13">
      <c r="A66" s="7" t="s">
        <v>51</v>
      </c>
      <c r="B66" s="7" t="s">
        <v>21</v>
      </c>
      <c r="C66" s="9">
        <v>100</v>
      </c>
      <c r="D66" s="10"/>
      <c r="E66" s="11"/>
      <c r="F66" s="15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f>G66-'8'!D66</f>
        <v>0</v>
      </c>
      <c r="M66" s="13">
        <f t="shared" si="4"/>
        <v>0</v>
      </c>
    </row>
    <row r="67" spans="1:13">
      <c r="A67" s="35" t="s">
        <v>52</v>
      </c>
      <c r="B67" s="36"/>
      <c r="C67" s="37"/>
      <c r="D67" s="16">
        <f>SUM(D2:D66)</f>
        <v>3785</v>
      </c>
      <c r="E67" s="17">
        <f>SUM(E2:E66)</f>
        <v>800</v>
      </c>
      <c r="F67" s="18">
        <f>SUM(F2:F66)</f>
        <v>286847.98</v>
      </c>
      <c r="G67" s="17">
        <f>SUM(G2:G66)</f>
        <v>4585</v>
      </c>
      <c r="H67" s="19"/>
      <c r="I67" s="20">
        <f>SUM(I2:I66)</f>
        <v>1304217.7100000002</v>
      </c>
      <c r="J67" s="21">
        <f>SUM(J2:J66)</f>
        <v>39088</v>
      </c>
      <c r="K67" s="22">
        <f>SUM(K2:K66)</f>
        <v>1396652</v>
      </c>
      <c r="L67" s="23">
        <f>SUM(L2:L66)</f>
        <v>432</v>
      </c>
      <c r="M67" s="24">
        <f>SUM(M2:M66)</f>
        <v>228869</v>
      </c>
    </row>
    <row r="70" spans="1:13">
      <c r="F70" s="31"/>
    </row>
    <row r="73" spans="1:13">
      <c r="I73" s="33"/>
      <c r="J73" s="32"/>
      <c r="K73" s="33"/>
    </row>
    <row r="74" spans="1:13">
      <c r="I74" s="33"/>
      <c r="J74" s="32"/>
      <c r="K74" s="33"/>
    </row>
    <row r="75" spans="1:13">
      <c r="I75" s="33"/>
      <c r="J75" s="29"/>
      <c r="K75" s="30"/>
    </row>
    <row r="76" spans="1:13">
      <c r="D76" s="25" t="s">
        <v>53</v>
      </c>
      <c r="I76" s="33"/>
      <c r="J76" s="34"/>
      <c r="K76" s="34"/>
    </row>
    <row r="77" spans="1:13">
      <c r="I77" s="33"/>
      <c r="J77" s="32"/>
      <c r="K77" s="33"/>
    </row>
    <row r="78" spans="1:13">
      <c r="F78" s="26"/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</row>
  </sheetData>
  <mergeCells count="1">
    <mergeCell ref="A67:C6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80"/>
  <sheetViews>
    <sheetView topLeftCell="A44" workbookViewId="0">
      <selection activeCell="P60" sqref="P60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448</v>
      </c>
      <c r="E2" s="11"/>
      <c r="F2" s="9">
        <f>E2*H2</f>
        <v>0</v>
      </c>
      <c r="G2" s="11">
        <f>D2+E2</f>
        <v>448</v>
      </c>
      <c r="H2" s="12">
        <v>308.13</v>
      </c>
      <c r="I2" s="13">
        <f>H2*D2</f>
        <v>138042.23999999999</v>
      </c>
      <c r="J2" s="14">
        <v>326</v>
      </c>
      <c r="K2" s="13">
        <f>J2*D2</f>
        <v>146048</v>
      </c>
      <c r="L2" s="11">
        <f>G2-'9'!D2</f>
        <v>14</v>
      </c>
      <c r="M2" s="13">
        <f>L2*J2</f>
        <v>4564</v>
      </c>
    </row>
    <row r="3" spans="1:13">
      <c r="A3" s="7" t="s">
        <v>12</v>
      </c>
      <c r="B3" s="8" t="s">
        <v>14</v>
      </c>
      <c r="C3" s="9">
        <v>9</v>
      </c>
      <c r="D3" s="10">
        <v>102</v>
      </c>
      <c r="E3" s="11"/>
      <c r="F3" s="9">
        <f t="shared" ref="F3:F66" si="0">E3*H3</f>
        <v>0</v>
      </c>
      <c r="G3" s="11">
        <f t="shared" ref="G3:G66" si="1">D3+E3</f>
        <v>102</v>
      </c>
      <c r="H3" s="12">
        <v>308.19</v>
      </c>
      <c r="I3" s="13">
        <f t="shared" ref="I3:I66" si="2">H3*D3</f>
        <v>31435.38</v>
      </c>
      <c r="J3" s="14">
        <v>326</v>
      </c>
      <c r="K3" s="13">
        <f t="shared" ref="K3:K66" si="3">J3*D3</f>
        <v>33252</v>
      </c>
      <c r="L3" s="11">
        <f>G3-'9'!D3</f>
        <v>3</v>
      </c>
      <c r="M3" s="13">
        <f t="shared" ref="M3:M66" si="4">L3*J3</f>
        <v>978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f>G4-'9'!D4</f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290</v>
      </c>
      <c r="E5" s="11"/>
      <c r="F5" s="9">
        <f t="shared" si="0"/>
        <v>0</v>
      </c>
      <c r="G5" s="11">
        <f t="shared" si="1"/>
        <v>290</v>
      </c>
      <c r="H5" s="12">
        <v>174.77</v>
      </c>
      <c r="I5" s="13">
        <f t="shared" si="2"/>
        <v>50683.3</v>
      </c>
      <c r="J5" s="14">
        <v>192</v>
      </c>
      <c r="K5" s="13">
        <f t="shared" si="3"/>
        <v>55680</v>
      </c>
      <c r="L5" s="11">
        <f>G5-'9'!D5</f>
        <v>19</v>
      </c>
      <c r="M5" s="13">
        <f t="shared" si="4"/>
        <v>3648</v>
      </c>
    </row>
    <row r="6" spans="1:13">
      <c r="A6" s="7" t="s">
        <v>16</v>
      </c>
      <c r="B6" s="8" t="s">
        <v>18</v>
      </c>
      <c r="C6" s="9">
        <v>10</v>
      </c>
      <c r="D6" s="10">
        <v>241</v>
      </c>
      <c r="E6" s="11"/>
      <c r="F6" s="9">
        <f t="shared" si="0"/>
        <v>0</v>
      </c>
      <c r="G6" s="11">
        <f t="shared" si="1"/>
        <v>241</v>
      </c>
      <c r="H6" s="12">
        <v>174.77</v>
      </c>
      <c r="I6" s="13">
        <f t="shared" si="2"/>
        <v>42119.57</v>
      </c>
      <c r="J6" s="14">
        <v>192</v>
      </c>
      <c r="K6" s="13">
        <f t="shared" si="3"/>
        <v>46272</v>
      </c>
      <c r="L6" s="11">
        <f>G6-'9'!D6</f>
        <v>14</v>
      </c>
      <c r="M6" s="13">
        <f t="shared" si="4"/>
        <v>2688</v>
      </c>
    </row>
    <row r="7" spans="1:13">
      <c r="A7" s="7" t="s">
        <v>16</v>
      </c>
      <c r="B7" s="8" t="s">
        <v>19</v>
      </c>
      <c r="C7" s="9">
        <v>10</v>
      </c>
      <c r="D7" s="10">
        <v>47</v>
      </c>
      <c r="E7" s="11"/>
      <c r="F7" s="9">
        <f t="shared" si="0"/>
        <v>0</v>
      </c>
      <c r="G7" s="11">
        <f t="shared" si="1"/>
        <v>47</v>
      </c>
      <c r="H7" s="12">
        <v>174.77</v>
      </c>
      <c r="I7" s="13">
        <f t="shared" si="2"/>
        <v>8214.19</v>
      </c>
      <c r="J7" s="14">
        <v>192</v>
      </c>
      <c r="K7" s="13">
        <f t="shared" si="3"/>
        <v>9024</v>
      </c>
      <c r="L7" s="11">
        <f>G7-'9'!D7</f>
        <v>3</v>
      </c>
      <c r="M7" s="13">
        <f t="shared" si="4"/>
        <v>576</v>
      </c>
    </row>
    <row r="8" spans="1:13">
      <c r="A8" s="7" t="s">
        <v>16</v>
      </c>
      <c r="B8" s="8" t="s">
        <v>20</v>
      </c>
      <c r="C8" s="9">
        <v>10</v>
      </c>
      <c r="D8" s="10">
        <v>63</v>
      </c>
      <c r="E8" s="11"/>
      <c r="F8" s="9">
        <f t="shared" si="0"/>
        <v>0</v>
      </c>
      <c r="G8" s="11">
        <f t="shared" si="1"/>
        <v>63</v>
      </c>
      <c r="H8" s="12">
        <v>174.77</v>
      </c>
      <c r="I8" s="13">
        <f t="shared" si="2"/>
        <v>11010.51</v>
      </c>
      <c r="J8" s="14">
        <v>192</v>
      </c>
      <c r="K8" s="13">
        <f t="shared" si="3"/>
        <v>12096</v>
      </c>
      <c r="L8" s="11">
        <f>G8-'9'!D8</f>
        <v>11</v>
      </c>
      <c r="M8" s="13">
        <f t="shared" si="4"/>
        <v>2112</v>
      </c>
    </row>
    <row r="9" spans="1:13">
      <c r="A9" s="7" t="s">
        <v>16</v>
      </c>
      <c r="B9" s="8" t="s">
        <v>21</v>
      </c>
      <c r="C9" s="9">
        <v>10</v>
      </c>
      <c r="D9" s="10">
        <v>162</v>
      </c>
      <c r="E9" s="11"/>
      <c r="F9" s="9">
        <f t="shared" si="0"/>
        <v>0</v>
      </c>
      <c r="G9" s="11">
        <f t="shared" si="1"/>
        <v>162</v>
      </c>
      <c r="H9" s="12">
        <v>174.77</v>
      </c>
      <c r="I9" s="13">
        <f t="shared" si="2"/>
        <v>28312.74</v>
      </c>
      <c r="J9" s="14">
        <v>192</v>
      </c>
      <c r="K9" s="13">
        <f t="shared" si="3"/>
        <v>31104</v>
      </c>
      <c r="L9" s="11">
        <f>G9-'9'!D9</f>
        <v>6</v>
      </c>
      <c r="M9" s="13">
        <f t="shared" si="4"/>
        <v>1152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f>G10-'9'!D10</f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30</v>
      </c>
      <c r="E11" s="11"/>
      <c r="F11" s="9">
        <f t="shared" si="0"/>
        <v>0</v>
      </c>
      <c r="G11" s="11">
        <f t="shared" si="1"/>
        <v>30</v>
      </c>
      <c r="H11" s="12">
        <v>470.8</v>
      </c>
      <c r="I11" s="13">
        <f t="shared" si="2"/>
        <v>14124</v>
      </c>
      <c r="J11" s="14">
        <v>505</v>
      </c>
      <c r="K11" s="13">
        <f t="shared" si="3"/>
        <v>15150</v>
      </c>
      <c r="L11" s="11">
        <f>G11-'9'!D11</f>
        <v>2</v>
      </c>
      <c r="M11" s="13">
        <f t="shared" si="4"/>
        <v>1010</v>
      </c>
    </row>
    <row r="12" spans="1:13">
      <c r="A12" s="7" t="s">
        <v>22</v>
      </c>
      <c r="B12" s="8" t="s">
        <v>17</v>
      </c>
      <c r="C12" s="9">
        <v>20</v>
      </c>
      <c r="D12" s="10">
        <v>265</v>
      </c>
      <c r="E12" s="11"/>
      <c r="F12" s="9">
        <f>E12*H12</f>
        <v>0</v>
      </c>
      <c r="G12" s="11">
        <f t="shared" si="1"/>
        <v>265</v>
      </c>
      <c r="H12" s="12">
        <v>475.77</v>
      </c>
      <c r="I12" s="13">
        <f t="shared" si="2"/>
        <v>126079.04999999999</v>
      </c>
      <c r="J12" s="14">
        <v>505</v>
      </c>
      <c r="K12" s="13">
        <f t="shared" si="3"/>
        <v>133825</v>
      </c>
      <c r="L12" s="11">
        <f>G12-'9'!D12</f>
        <v>77</v>
      </c>
      <c r="M12" s="13">
        <f t="shared" si="4"/>
        <v>38885</v>
      </c>
    </row>
    <row r="13" spans="1:13">
      <c r="A13" s="7" t="s">
        <v>22</v>
      </c>
      <c r="B13" s="8" t="s">
        <v>18</v>
      </c>
      <c r="C13" s="9">
        <v>20</v>
      </c>
      <c r="D13" s="10">
        <v>212</v>
      </c>
      <c r="E13" s="11"/>
      <c r="F13" s="9">
        <f t="shared" si="0"/>
        <v>0</v>
      </c>
      <c r="G13" s="11">
        <f t="shared" si="1"/>
        <v>212</v>
      </c>
      <c r="H13" s="12">
        <v>475.77</v>
      </c>
      <c r="I13" s="13">
        <f t="shared" si="2"/>
        <v>100863.23999999999</v>
      </c>
      <c r="J13" s="14">
        <v>505</v>
      </c>
      <c r="K13" s="13">
        <f t="shared" si="3"/>
        <v>107060</v>
      </c>
      <c r="L13" s="11">
        <f>G13-'9'!D13</f>
        <v>37</v>
      </c>
      <c r="M13" s="13">
        <f t="shared" si="4"/>
        <v>18685</v>
      </c>
    </row>
    <row r="14" spans="1:13">
      <c r="A14" s="7" t="s">
        <v>22</v>
      </c>
      <c r="B14" s="8" t="s">
        <v>19</v>
      </c>
      <c r="C14" s="9">
        <v>20</v>
      </c>
      <c r="D14" s="10">
        <v>32</v>
      </c>
      <c r="E14" s="11"/>
      <c r="F14" s="9">
        <f t="shared" si="0"/>
        <v>0</v>
      </c>
      <c r="G14" s="11">
        <f t="shared" si="1"/>
        <v>32</v>
      </c>
      <c r="H14" s="12">
        <v>470.8</v>
      </c>
      <c r="I14" s="13">
        <f t="shared" si="2"/>
        <v>15065.6</v>
      </c>
      <c r="J14" s="14">
        <v>505</v>
      </c>
      <c r="K14" s="13">
        <f t="shared" si="3"/>
        <v>16160</v>
      </c>
      <c r="L14" s="11">
        <f>G14-'9'!D14</f>
        <v>12</v>
      </c>
      <c r="M14" s="13">
        <f t="shared" si="4"/>
        <v>6060</v>
      </c>
    </row>
    <row r="15" spans="1:13">
      <c r="A15" s="7" t="s">
        <v>22</v>
      </c>
      <c r="B15" s="8" t="s">
        <v>20</v>
      </c>
      <c r="C15" s="9">
        <v>20</v>
      </c>
      <c r="D15" s="10">
        <v>40</v>
      </c>
      <c r="E15" s="11"/>
      <c r="F15" s="9">
        <f t="shared" si="0"/>
        <v>0</v>
      </c>
      <c r="G15" s="11">
        <f t="shared" si="1"/>
        <v>40</v>
      </c>
      <c r="H15" s="12">
        <v>470.8</v>
      </c>
      <c r="I15" s="13">
        <f t="shared" si="2"/>
        <v>18832</v>
      </c>
      <c r="J15" s="14">
        <v>505</v>
      </c>
      <c r="K15" s="13">
        <f t="shared" si="3"/>
        <v>20200</v>
      </c>
      <c r="L15" s="11">
        <f>G15-'9'!D15</f>
        <v>6</v>
      </c>
      <c r="M15" s="13">
        <f t="shared" si="4"/>
        <v>3030</v>
      </c>
    </row>
    <row r="16" spans="1:13">
      <c r="A16" s="7" t="s">
        <v>22</v>
      </c>
      <c r="B16" s="8" t="s">
        <v>21</v>
      </c>
      <c r="C16" s="9">
        <v>20</v>
      </c>
      <c r="D16" s="10"/>
      <c r="E16" s="11"/>
      <c r="F16" s="9">
        <f t="shared" si="0"/>
        <v>0</v>
      </c>
      <c r="G16" s="11">
        <f t="shared" si="1"/>
        <v>0</v>
      </c>
      <c r="H16" s="12">
        <v>470.8</v>
      </c>
      <c r="I16" s="13">
        <f t="shared" si="2"/>
        <v>0</v>
      </c>
      <c r="J16" s="14">
        <v>505</v>
      </c>
      <c r="K16" s="13">
        <f t="shared" si="3"/>
        <v>0</v>
      </c>
      <c r="L16" s="11">
        <f>G16-'9'!D16</f>
        <v>0</v>
      </c>
      <c r="M16" s="13">
        <f t="shared" si="4"/>
        <v>0</v>
      </c>
    </row>
    <row r="17" spans="1:13">
      <c r="A17" s="7" t="s">
        <v>22</v>
      </c>
      <c r="B17" s="8" t="s">
        <v>29</v>
      </c>
      <c r="C17" s="9">
        <v>11</v>
      </c>
      <c r="D17" s="10">
        <v>73</v>
      </c>
      <c r="E17" s="11"/>
      <c r="F17" s="9">
        <f t="shared" si="0"/>
        <v>0</v>
      </c>
      <c r="G17" s="11">
        <f t="shared" si="1"/>
        <v>73</v>
      </c>
      <c r="H17" s="12">
        <v>235.59</v>
      </c>
      <c r="I17" s="13">
        <f t="shared" si="2"/>
        <v>17198.07</v>
      </c>
      <c r="J17" s="14">
        <v>250</v>
      </c>
      <c r="K17" s="13">
        <f t="shared" si="3"/>
        <v>18250</v>
      </c>
      <c r="L17" s="11">
        <f>G17-'9'!D17</f>
        <v>4</v>
      </c>
      <c r="M17" s="13">
        <f t="shared" si="4"/>
        <v>1000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f>G18-'9'!D18</f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/>
      <c r="E19" s="11"/>
      <c r="F19" s="9">
        <f t="shared" si="0"/>
        <v>0</v>
      </c>
      <c r="G19" s="11">
        <f t="shared" si="1"/>
        <v>0</v>
      </c>
      <c r="H19" s="12">
        <v>204</v>
      </c>
      <c r="I19" s="13">
        <f t="shared" si="2"/>
        <v>0</v>
      </c>
      <c r="J19" s="14">
        <v>230</v>
      </c>
      <c r="K19" s="13">
        <f t="shared" si="3"/>
        <v>0</v>
      </c>
      <c r="L19" s="11">
        <f>G19-'9'!D19</f>
        <v>0</v>
      </c>
      <c r="M19" s="13">
        <f t="shared" si="4"/>
        <v>0</v>
      </c>
    </row>
    <row r="20" spans="1:13">
      <c r="A20" s="7" t="s">
        <v>22</v>
      </c>
      <c r="B20" s="8" t="s">
        <v>25</v>
      </c>
      <c r="C20" s="9">
        <v>10</v>
      </c>
      <c r="D20" s="10"/>
      <c r="E20" s="11"/>
      <c r="F20" s="9">
        <f t="shared" si="0"/>
        <v>0</v>
      </c>
      <c r="G20" s="11">
        <f t="shared" si="1"/>
        <v>0</v>
      </c>
      <c r="H20" s="12">
        <v>204</v>
      </c>
      <c r="I20" s="13">
        <f>H20*D20</f>
        <v>0</v>
      </c>
      <c r="J20" s="14">
        <v>230</v>
      </c>
      <c r="K20" s="13">
        <f t="shared" si="3"/>
        <v>0</v>
      </c>
      <c r="L20" s="11">
        <f>G20-'9'!D20</f>
        <v>0</v>
      </c>
      <c r="M20" s="13">
        <f t="shared" si="4"/>
        <v>0</v>
      </c>
    </row>
    <row r="21" spans="1:13">
      <c r="A21" s="7" t="s">
        <v>22</v>
      </c>
      <c r="B21" s="8" t="s">
        <v>26</v>
      </c>
      <c r="C21" s="9">
        <v>10</v>
      </c>
      <c r="D21" s="10">
        <v>28</v>
      </c>
      <c r="E21" s="11"/>
      <c r="F21" s="9">
        <f t="shared" si="0"/>
        <v>0</v>
      </c>
      <c r="G21" s="11">
        <f t="shared" si="1"/>
        <v>28</v>
      </c>
      <c r="H21" s="12">
        <v>204</v>
      </c>
      <c r="I21" s="13">
        <f t="shared" si="2"/>
        <v>5712</v>
      </c>
      <c r="J21" s="14">
        <v>230</v>
      </c>
      <c r="K21" s="13">
        <f t="shared" si="3"/>
        <v>6440</v>
      </c>
      <c r="L21" s="11">
        <f>G21-'9'!D21</f>
        <v>0</v>
      </c>
      <c r="M21" s="13">
        <f t="shared" si="4"/>
        <v>0</v>
      </c>
    </row>
    <row r="22" spans="1:13">
      <c r="A22" s="7" t="s">
        <v>22</v>
      </c>
      <c r="B22" s="8" t="s">
        <v>13</v>
      </c>
      <c r="C22" s="9">
        <v>19</v>
      </c>
      <c r="D22" s="10">
        <v>8</v>
      </c>
      <c r="E22" s="11"/>
      <c r="F22" s="9">
        <f t="shared" si="0"/>
        <v>0</v>
      </c>
      <c r="G22" s="11">
        <f t="shared" si="1"/>
        <v>8</v>
      </c>
      <c r="H22" s="12">
        <v>474.46</v>
      </c>
      <c r="I22" s="13">
        <f t="shared" si="2"/>
        <v>3795.68</v>
      </c>
      <c r="J22" s="14">
        <v>505</v>
      </c>
      <c r="K22" s="13">
        <f t="shared" si="3"/>
        <v>4040</v>
      </c>
      <c r="L22" s="11">
        <f>G22-'9'!D22</f>
        <v>8</v>
      </c>
      <c r="M22" s="13">
        <f t="shared" si="4"/>
        <v>4040</v>
      </c>
    </row>
    <row r="23" spans="1:13">
      <c r="A23" s="7" t="s">
        <v>22</v>
      </c>
      <c r="B23" s="8" t="s">
        <v>27</v>
      </c>
      <c r="C23" s="9">
        <v>24</v>
      </c>
      <c r="D23" s="10">
        <v>165</v>
      </c>
      <c r="E23" s="11"/>
      <c r="F23" s="9">
        <f t="shared" si="0"/>
        <v>0</v>
      </c>
      <c r="G23" s="11">
        <f t="shared" si="1"/>
        <v>165</v>
      </c>
      <c r="H23" s="12">
        <v>593.91999999999996</v>
      </c>
      <c r="I23" s="13">
        <f t="shared" si="2"/>
        <v>97996.799999999988</v>
      </c>
      <c r="J23" s="14">
        <v>630</v>
      </c>
      <c r="K23" s="13">
        <f t="shared" si="3"/>
        <v>103950</v>
      </c>
      <c r="L23" s="11">
        <f>G23-'9'!D23</f>
        <v>11</v>
      </c>
      <c r="M23" s="13">
        <f t="shared" si="4"/>
        <v>6930</v>
      </c>
    </row>
    <row r="24" spans="1:13">
      <c r="A24" s="7" t="s">
        <v>30</v>
      </c>
      <c r="B24" s="8" t="s">
        <v>17</v>
      </c>
      <c r="C24" s="9">
        <v>25</v>
      </c>
      <c r="D24" s="10">
        <v>171</v>
      </c>
      <c r="E24" s="10"/>
      <c r="F24" s="9">
        <f t="shared" si="0"/>
        <v>0</v>
      </c>
      <c r="G24" s="11">
        <f t="shared" si="1"/>
        <v>171</v>
      </c>
      <c r="H24" s="12">
        <v>453.3</v>
      </c>
      <c r="I24" s="13">
        <f t="shared" si="2"/>
        <v>77514.3</v>
      </c>
      <c r="J24" s="14">
        <v>493</v>
      </c>
      <c r="K24" s="13">
        <f t="shared" si="3"/>
        <v>84303</v>
      </c>
      <c r="L24" s="11">
        <f>G24-'9'!D24</f>
        <v>76</v>
      </c>
      <c r="M24" s="13">
        <f t="shared" si="4"/>
        <v>37468</v>
      </c>
    </row>
    <row r="25" spans="1:13">
      <c r="A25" s="7" t="s">
        <v>30</v>
      </c>
      <c r="B25" s="8" t="s">
        <v>18</v>
      </c>
      <c r="C25" s="9">
        <v>25</v>
      </c>
      <c r="D25" s="10">
        <v>54</v>
      </c>
      <c r="E25" s="10"/>
      <c r="F25" s="9">
        <f t="shared" si="0"/>
        <v>0</v>
      </c>
      <c r="G25" s="11">
        <f t="shared" si="1"/>
        <v>54</v>
      </c>
      <c r="H25" s="12">
        <v>453.3</v>
      </c>
      <c r="I25" s="13">
        <f t="shared" si="2"/>
        <v>24478.2</v>
      </c>
      <c r="J25" s="14">
        <v>493</v>
      </c>
      <c r="K25" s="13">
        <f t="shared" si="3"/>
        <v>26622</v>
      </c>
      <c r="L25" s="11">
        <f>G25-'9'!D25</f>
        <v>24</v>
      </c>
      <c r="M25" s="13">
        <f t="shared" si="4"/>
        <v>11832</v>
      </c>
    </row>
    <row r="26" spans="1:13">
      <c r="A26" s="7" t="s">
        <v>30</v>
      </c>
      <c r="B26" s="8" t="s">
        <v>20</v>
      </c>
      <c r="C26" s="9">
        <v>25</v>
      </c>
      <c r="D26" s="10"/>
      <c r="E26" s="10"/>
      <c r="F26" s="9">
        <f t="shared" si="0"/>
        <v>0</v>
      </c>
      <c r="G26" s="11">
        <f t="shared" si="1"/>
        <v>0</v>
      </c>
      <c r="H26" s="12">
        <v>453.3</v>
      </c>
      <c r="I26" s="13">
        <f t="shared" si="2"/>
        <v>0</v>
      </c>
      <c r="J26" s="14">
        <v>493</v>
      </c>
      <c r="K26" s="13">
        <f t="shared" si="3"/>
        <v>0</v>
      </c>
      <c r="L26" s="11">
        <f>G26-'9'!D26</f>
        <v>0</v>
      </c>
      <c r="M26" s="13">
        <f t="shared" si="4"/>
        <v>0</v>
      </c>
    </row>
    <row r="27" spans="1:13">
      <c r="A27" s="7" t="s">
        <v>30</v>
      </c>
      <c r="B27" s="8" t="s">
        <v>21</v>
      </c>
      <c r="C27" s="9">
        <v>25</v>
      </c>
      <c r="D27" s="10"/>
      <c r="E27" s="10"/>
      <c r="F27" s="9">
        <f t="shared" si="0"/>
        <v>0</v>
      </c>
      <c r="G27" s="11">
        <f t="shared" si="1"/>
        <v>0</v>
      </c>
      <c r="H27" s="12">
        <v>453.3</v>
      </c>
      <c r="I27" s="13">
        <f t="shared" si="2"/>
        <v>0</v>
      </c>
      <c r="J27" s="14">
        <v>493</v>
      </c>
      <c r="K27" s="13">
        <f t="shared" si="3"/>
        <v>0</v>
      </c>
      <c r="L27" s="11">
        <f>G27-'9'!D27</f>
        <v>0</v>
      </c>
      <c r="M27" s="13">
        <f t="shared" si="4"/>
        <v>0</v>
      </c>
    </row>
    <row r="28" spans="1:13">
      <c r="A28" s="7" t="s">
        <v>31</v>
      </c>
      <c r="B28" s="7" t="s">
        <v>17</v>
      </c>
      <c r="C28" s="9">
        <v>40</v>
      </c>
      <c r="D28" s="10"/>
      <c r="E28" s="10"/>
      <c r="F28" s="9">
        <f t="shared" si="0"/>
        <v>0</v>
      </c>
      <c r="G28" s="11">
        <f t="shared" si="1"/>
        <v>0</v>
      </c>
      <c r="H28" s="12">
        <v>821.36</v>
      </c>
      <c r="I28" s="13">
        <f t="shared" si="2"/>
        <v>0</v>
      </c>
      <c r="J28" s="14">
        <v>878</v>
      </c>
      <c r="K28" s="13">
        <f t="shared" si="3"/>
        <v>0</v>
      </c>
      <c r="L28" s="11">
        <f>G28-'9'!D28</f>
        <v>0</v>
      </c>
      <c r="M28" s="13">
        <f t="shared" si="4"/>
        <v>0</v>
      </c>
    </row>
    <row r="29" spans="1:13">
      <c r="A29" s="7" t="s">
        <v>31</v>
      </c>
      <c r="B29" s="7" t="s">
        <v>18</v>
      </c>
      <c r="C29" s="9">
        <v>40</v>
      </c>
      <c r="D29" s="10"/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f>G29-'9'!D29</f>
        <v>0</v>
      </c>
      <c r="M29" s="13">
        <f t="shared" si="4"/>
        <v>0</v>
      </c>
    </row>
    <row r="30" spans="1:13">
      <c r="A30" s="7" t="s">
        <v>31</v>
      </c>
      <c r="B30" s="7" t="s">
        <v>19</v>
      </c>
      <c r="C30" s="9">
        <v>40</v>
      </c>
      <c r="D30" s="10"/>
      <c r="E30" s="10"/>
      <c r="F30" s="9">
        <f t="shared" si="0"/>
        <v>0</v>
      </c>
      <c r="G30" s="11">
        <f t="shared" si="1"/>
        <v>0</v>
      </c>
      <c r="H30" s="12">
        <v>817.58</v>
      </c>
      <c r="I30" s="13">
        <f t="shared" si="2"/>
        <v>0</v>
      </c>
      <c r="J30" s="14">
        <v>878</v>
      </c>
      <c r="K30" s="13">
        <f t="shared" si="3"/>
        <v>0</v>
      </c>
      <c r="L30" s="11">
        <f>G30-'9'!D30</f>
        <v>0</v>
      </c>
      <c r="M30" s="13">
        <f t="shared" si="4"/>
        <v>0</v>
      </c>
    </row>
    <row r="31" spans="1:13">
      <c r="A31" s="7" t="s">
        <v>31</v>
      </c>
      <c r="B31" s="7" t="s">
        <v>20</v>
      </c>
      <c r="C31" s="9">
        <v>40</v>
      </c>
      <c r="D31" s="10"/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f>G31-'9'!D31</f>
        <v>0</v>
      </c>
      <c r="M31" s="13">
        <f t="shared" si="4"/>
        <v>0</v>
      </c>
    </row>
    <row r="32" spans="1:13">
      <c r="A32" s="7" t="s">
        <v>31</v>
      </c>
      <c r="B32" s="7" t="s">
        <v>21</v>
      </c>
      <c r="C32" s="9">
        <v>40</v>
      </c>
      <c r="D32" s="10"/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f>G32-'9'!D32</f>
        <v>0</v>
      </c>
      <c r="M32" s="13">
        <f t="shared" si="4"/>
        <v>0</v>
      </c>
    </row>
    <row r="33" spans="1:13">
      <c r="A33" s="7" t="s">
        <v>31</v>
      </c>
      <c r="B33" s="7" t="s">
        <v>32</v>
      </c>
      <c r="C33" s="9">
        <v>40</v>
      </c>
      <c r="D33" s="10"/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f>G33-'9'!D33</f>
        <v>0</v>
      </c>
      <c r="M33" s="13">
        <f t="shared" si="4"/>
        <v>0</v>
      </c>
    </row>
    <row r="34" spans="1:13">
      <c r="A34" s="7" t="s">
        <v>31</v>
      </c>
      <c r="B34" s="7" t="s">
        <v>33</v>
      </c>
      <c r="C34" s="9">
        <v>60</v>
      </c>
      <c r="D34" s="10">
        <v>4</v>
      </c>
      <c r="E34" s="10">
        <v>80</v>
      </c>
      <c r="F34" s="9">
        <f t="shared" si="0"/>
        <v>83412</v>
      </c>
      <c r="G34" s="11">
        <f t="shared" si="1"/>
        <v>84</v>
      </c>
      <c r="H34" s="12">
        <v>1042.6500000000001</v>
      </c>
      <c r="I34" s="13">
        <f t="shared" si="2"/>
        <v>4170.6000000000004</v>
      </c>
      <c r="J34" s="14">
        <v>1110</v>
      </c>
      <c r="K34" s="13">
        <f t="shared" si="3"/>
        <v>4440</v>
      </c>
      <c r="L34" s="11">
        <f>G34-'9'!D34</f>
        <v>16</v>
      </c>
      <c r="M34" s="13">
        <f t="shared" si="4"/>
        <v>17760</v>
      </c>
    </row>
    <row r="35" spans="1:13">
      <c r="A35" s="7" t="s">
        <v>34</v>
      </c>
      <c r="B35" s="7" t="s">
        <v>35</v>
      </c>
      <c r="C35" s="9">
        <v>7</v>
      </c>
      <c r="D35" s="10">
        <v>11</v>
      </c>
      <c r="E35" s="10"/>
      <c r="F35" s="9">
        <f t="shared" si="0"/>
        <v>0</v>
      </c>
      <c r="G35" s="11">
        <f t="shared" si="1"/>
        <v>11</v>
      </c>
      <c r="H35" s="12">
        <v>126.24</v>
      </c>
      <c r="I35" s="13">
        <f t="shared" si="2"/>
        <v>1388.6399999999999</v>
      </c>
      <c r="J35" s="14">
        <v>140</v>
      </c>
      <c r="K35" s="13">
        <f t="shared" si="3"/>
        <v>1540</v>
      </c>
      <c r="L35" s="11">
        <f>G35-'9'!D35</f>
        <v>0</v>
      </c>
      <c r="M35" s="13">
        <f t="shared" si="4"/>
        <v>0</v>
      </c>
    </row>
    <row r="36" spans="1:13">
      <c r="A36" s="7" t="s">
        <v>36</v>
      </c>
      <c r="B36" s="7" t="s">
        <v>37</v>
      </c>
      <c r="C36" s="9">
        <v>125</v>
      </c>
      <c r="D36" s="10">
        <v>11</v>
      </c>
      <c r="E36" s="10">
        <v>20</v>
      </c>
      <c r="F36" s="9">
        <f t="shared" si="0"/>
        <v>41010.800000000003</v>
      </c>
      <c r="G36" s="11">
        <f t="shared" si="1"/>
        <v>31</v>
      </c>
      <c r="H36" s="12">
        <v>2050.54</v>
      </c>
      <c r="I36" s="13">
        <f t="shared" si="2"/>
        <v>22555.94</v>
      </c>
      <c r="J36" s="14">
        <v>2175</v>
      </c>
      <c r="K36" s="13">
        <f t="shared" si="3"/>
        <v>23925</v>
      </c>
      <c r="L36" s="11">
        <f>G36-'9'!D36</f>
        <v>3</v>
      </c>
      <c r="M36" s="13">
        <f t="shared" si="4"/>
        <v>6525</v>
      </c>
    </row>
    <row r="37" spans="1:13">
      <c r="A37" s="7" t="s">
        <v>38</v>
      </c>
      <c r="B37" s="7" t="s">
        <v>17</v>
      </c>
      <c r="C37" s="9">
        <v>20</v>
      </c>
      <c r="D37" s="10">
        <v>2</v>
      </c>
      <c r="E37" s="10"/>
      <c r="F37" s="9">
        <f t="shared" si="0"/>
        <v>0</v>
      </c>
      <c r="G37" s="11">
        <f t="shared" si="1"/>
        <v>2</v>
      </c>
      <c r="H37" s="12">
        <v>399.19</v>
      </c>
      <c r="I37" s="13">
        <f t="shared" si="2"/>
        <v>798.38</v>
      </c>
      <c r="J37" s="14">
        <v>420</v>
      </c>
      <c r="K37" s="13">
        <f t="shared" si="3"/>
        <v>840</v>
      </c>
      <c r="L37" s="11">
        <f>G37-'9'!D37</f>
        <v>0</v>
      </c>
      <c r="M37" s="13">
        <f t="shared" si="4"/>
        <v>0</v>
      </c>
    </row>
    <row r="38" spans="1:13">
      <c r="A38" s="7" t="s">
        <v>38</v>
      </c>
      <c r="B38" s="7" t="s">
        <v>18</v>
      </c>
      <c r="C38" s="9">
        <v>20</v>
      </c>
      <c r="D38" s="10"/>
      <c r="E38" s="10"/>
      <c r="F38" s="9">
        <f t="shared" si="0"/>
        <v>0</v>
      </c>
      <c r="G38" s="11">
        <f t="shared" si="1"/>
        <v>0</v>
      </c>
      <c r="H38" s="12">
        <v>399.19</v>
      </c>
      <c r="I38" s="13">
        <f t="shared" si="2"/>
        <v>0</v>
      </c>
      <c r="J38" s="14">
        <v>420</v>
      </c>
      <c r="K38" s="13">
        <f t="shared" si="3"/>
        <v>0</v>
      </c>
      <c r="L38" s="11">
        <f>G38-'9'!D38</f>
        <v>0</v>
      </c>
      <c r="M38" s="13">
        <f t="shared" si="4"/>
        <v>0</v>
      </c>
    </row>
    <row r="39" spans="1:13">
      <c r="A39" s="7" t="s">
        <v>38</v>
      </c>
      <c r="B39" s="7" t="s">
        <v>21</v>
      </c>
      <c r="C39" s="9">
        <v>20</v>
      </c>
      <c r="D39" s="10"/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f>G39-'9'!D39</f>
        <v>0</v>
      </c>
      <c r="M39" s="13">
        <f t="shared" si="4"/>
        <v>0</v>
      </c>
    </row>
    <row r="40" spans="1:13">
      <c r="A40" s="7" t="s">
        <v>39</v>
      </c>
      <c r="B40" s="7" t="s">
        <v>35</v>
      </c>
      <c r="C40" s="9">
        <v>9</v>
      </c>
      <c r="D40" s="10">
        <v>73</v>
      </c>
      <c r="E40" s="10"/>
      <c r="F40" s="9">
        <f t="shared" si="0"/>
        <v>0</v>
      </c>
      <c r="G40" s="11">
        <f t="shared" si="1"/>
        <v>73</v>
      </c>
      <c r="H40" s="12">
        <v>174.19</v>
      </c>
      <c r="I40" s="13">
        <f t="shared" si="2"/>
        <v>12715.869999999999</v>
      </c>
      <c r="J40" s="14">
        <v>185</v>
      </c>
      <c r="K40" s="13">
        <f t="shared" si="3"/>
        <v>13505</v>
      </c>
      <c r="L40" s="11">
        <f>G40-'9'!D40</f>
        <v>3</v>
      </c>
      <c r="M40" s="13">
        <f t="shared" si="4"/>
        <v>555</v>
      </c>
    </row>
    <row r="41" spans="1:13">
      <c r="A41" s="7" t="s">
        <v>40</v>
      </c>
      <c r="B41" s="7" t="s">
        <v>13</v>
      </c>
      <c r="C41" s="9">
        <v>35</v>
      </c>
      <c r="D41" s="10">
        <v>25</v>
      </c>
      <c r="E41" s="10"/>
      <c r="F41" s="9">
        <f t="shared" si="0"/>
        <v>0</v>
      </c>
      <c r="G41" s="11">
        <f t="shared" si="1"/>
        <v>25</v>
      </c>
      <c r="H41" s="12">
        <v>748.13</v>
      </c>
      <c r="I41" s="13">
        <f t="shared" si="2"/>
        <v>18703.25</v>
      </c>
      <c r="J41" s="14">
        <v>795</v>
      </c>
      <c r="K41" s="13">
        <f t="shared" si="3"/>
        <v>19875</v>
      </c>
      <c r="L41" s="11">
        <f>G41-'9'!D41</f>
        <v>4</v>
      </c>
      <c r="M41" s="13">
        <f t="shared" si="4"/>
        <v>3180</v>
      </c>
    </row>
    <row r="42" spans="1:13">
      <c r="A42" s="7" t="s">
        <v>41</v>
      </c>
      <c r="B42" s="7" t="s">
        <v>17</v>
      </c>
      <c r="C42" s="9">
        <v>40</v>
      </c>
      <c r="D42" s="10">
        <v>6</v>
      </c>
      <c r="E42" s="10"/>
      <c r="F42" s="9">
        <f t="shared" si="0"/>
        <v>0</v>
      </c>
      <c r="G42" s="11">
        <f t="shared" si="1"/>
        <v>6</v>
      </c>
      <c r="H42" s="12">
        <v>842.86</v>
      </c>
      <c r="I42" s="13">
        <f t="shared" si="2"/>
        <v>5057.16</v>
      </c>
      <c r="J42" s="14">
        <v>900</v>
      </c>
      <c r="K42" s="13">
        <f t="shared" si="3"/>
        <v>5400</v>
      </c>
      <c r="L42" s="11">
        <f>G42-'9'!D42</f>
        <v>5</v>
      </c>
      <c r="M42" s="13">
        <f t="shared" si="4"/>
        <v>4500</v>
      </c>
    </row>
    <row r="43" spans="1:13">
      <c r="A43" s="7" t="s">
        <v>41</v>
      </c>
      <c r="B43" s="7" t="s">
        <v>18</v>
      </c>
      <c r="C43" s="9">
        <v>40</v>
      </c>
      <c r="D43" s="10">
        <v>25</v>
      </c>
      <c r="E43" s="10"/>
      <c r="F43" s="9">
        <f t="shared" si="0"/>
        <v>0</v>
      </c>
      <c r="G43" s="11">
        <f t="shared" si="1"/>
        <v>25</v>
      </c>
      <c r="H43" s="12">
        <v>842.86</v>
      </c>
      <c r="I43" s="13">
        <f t="shared" si="2"/>
        <v>21071.5</v>
      </c>
      <c r="J43" s="14">
        <v>900</v>
      </c>
      <c r="K43" s="13">
        <f t="shared" si="3"/>
        <v>22500</v>
      </c>
      <c r="L43" s="11">
        <f>G43-'9'!D43</f>
        <v>1</v>
      </c>
      <c r="M43" s="13">
        <f t="shared" si="4"/>
        <v>900</v>
      </c>
    </row>
    <row r="44" spans="1:13">
      <c r="A44" s="7" t="s">
        <v>41</v>
      </c>
      <c r="B44" s="7" t="s">
        <v>19</v>
      </c>
      <c r="C44" s="9">
        <v>40</v>
      </c>
      <c r="D44" s="10"/>
      <c r="E44" s="10"/>
      <c r="F44" s="9">
        <f t="shared" si="0"/>
        <v>0</v>
      </c>
      <c r="G44" s="11">
        <f t="shared" si="1"/>
        <v>0</v>
      </c>
      <c r="H44" s="12">
        <v>839.68</v>
      </c>
      <c r="I44" s="13">
        <f t="shared" si="2"/>
        <v>0</v>
      </c>
      <c r="J44" s="14">
        <v>900</v>
      </c>
      <c r="K44" s="13">
        <f t="shared" si="3"/>
        <v>0</v>
      </c>
      <c r="L44" s="11">
        <f>G44-'9'!D44</f>
        <v>0</v>
      </c>
      <c r="M44" s="13">
        <f t="shared" si="4"/>
        <v>0</v>
      </c>
    </row>
    <row r="45" spans="1:13">
      <c r="A45" s="7" t="s">
        <v>41</v>
      </c>
      <c r="B45" s="7" t="s">
        <v>20</v>
      </c>
      <c r="C45" s="9">
        <v>40</v>
      </c>
      <c r="D45" s="10"/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f>G45-'9'!D45</f>
        <v>0</v>
      </c>
      <c r="M45" s="13">
        <f t="shared" si="4"/>
        <v>0</v>
      </c>
    </row>
    <row r="46" spans="1:13">
      <c r="A46" s="7" t="s">
        <v>41</v>
      </c>
      <c r="B46" s="7" t="s">
        <v>21</v>
      </c>
      <c r="C46" s="9">
        <v>40</v>
      </c>
      <c r="D46" s="10"/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f>G46-'9'!D46</f>
        <v>0</v>
      </c>
      <c r="M46" s="13">
        <f t="shared" si="4"/>
        <v>0</v>
      </c>
    </row>
    <row r="47" spans="1:13">
      <c r="A47" s="7" t="s">
        <v>42</v>
      </c>
      <c r="B47" s="7" t="s">
        <v>29</v>
      </c>
      <c r="C47" s="9">
        <v>18</v>
      </c>
      <c r="D47" s="10">
        <v>34</v>
      </c>
      <c r="E47" s="10"/>
      <c r="F47" s="9">
        <f t="shared" si="0"/>
        <v>0</v>
      </c>
      <c r="G47" s="11">
        <f t="shared" si="1"/>
        <v>34</v>
      </c>
      <c r="H47" s="12">
        <v>375.68</v>
      </c>
      <c r="I47" s="13">
        <f t="shared" si="2"/>
        <v>12773.12</v>
      </c>
      <c r="J47" s="14">
        <v>400</v>
      </c>
      <c r="K47" s="13">
        <f t="shared" si="3"/>
        <v>13600</v>
      </c>
      <c r="L47" s="11">
        <f>G47-'9'!D47</f>
        <v>1</v>
      </c>
      <c r="M47" s="13">
        <f t="shared" si="4"/>
        <v>400</v>
      </c>
    </row>
    <row r="48" spans="1:13">
      <c r="A48" s="7" t="s">
        <v>54</v>
      </c>
      <c r="B48" s="7" t="s">
        <v>44</v>
      </c>
      <c r="C48" s="9">
        <v>50</v>
      </c>
      <c r="D48" s="11">
        <v>41</v>
      </c>
      <c r="E48" s="11"/>
      <c r="F48" s="9">
        <f t="shared" si="0"/>
        <v>0</v>
      </c>
      <c r="G48" s="11">
        <f t="shared" si="1"/>
        <v>41</v>
      </c>
      <c r="H48" s="12">
        <v>670.32</v>
      </c>
      <c r="I48" s="13">
        <f t="shared" si="2"/>
        <v>27483.120000000003</v>
      </c>
      <c r="J48" s="14">
        <v>710</v>
      </c>
      <c r="K48" s="13">
        <f t="shared" si="3"/>
        <v>29110</v>
      </c>
      <c r="L48" s="11">
        <f>G48-'9'!D48</f>
        <v>9</v>
      </c>
      <c r="M48" s="13">
        <f t="shared" si="4"/>
        <v>6390</v>
      </c>
    </row>
    <row r="49" spans="1:13">
      <c r="A49" s="7" t="s">
        <v>43</v>
      </c>
      <c r="B49" s="7" t="s">
        <v>17</v>
      </c>
      <c r="C49" s="9">
        <v>50</v>
      </c>
      <c r="D49" s="10">
        <v>35</v>
      </c>
      <c r="E49" s="10"/>
      <c r="F49" s="9">
        <f t="shared" si="0"/>
        <v>0</v>
      </c>
      <c r="G49" s="11">
        <f t="shared" si="1"/>
        <v>35</v>
      </c>
      <c r="H49" s="12">
        <v>661.22</v>
      </c>
      <c r="I49" s="13">
        <f t="shared" si="2"/>
        <v>23142.7</v>
      </c>
      <c r="J49" s="14">
        <v>710</v>
      </c>
      <c r="K49" s="13">
        <f t="shared" si="3"/>
        <v>24850</v>
      </c>
      <c r="L49" s="11">
        <f>G49-'9'!D49</f>
        <v>18</v>
      </c>
      <c r="M49" s="13">
        <f t="shared" si="4"/>
        <v>12780</v>
      </c>
    </row>
    <row r="50" spans="1:13">
      <c r="A50" s="7" t="s">
        <v>43</v>
      </c>
      <c r="B50" s="7" t="s">
        <v>18</v>
      </c>
      <c r="C50" s="9">
        <v>50</v>
      </c>
      <c r="D50" s="10">
        <v>46</v>
      </c>
      <c r="E50" s="10"/>
      <c r="F50" s="9">
        <f t="shared" si="0"/>
        <v>0</v>
      </c>
      <c r="G50" s="11">
        <f t="shared" si="1"/>
        <v>46</v>
      </c>
      <c r="H50" s="12">
        <v>661.22</v>
      </c>
      <c r="I50" s="13">
        <f t="shared" si="2"/>
        <v>30416.120000000003</v>
      </c>
      <c r="J50" s="14">
        <v>710</v>
      </c>
      <c r="K50" s="13">
        <f t="shared" si="3"/>
        <v>32660</v>
      </c>
      <c r="L50" s="11">
        <f>G50-'9'!D50</f>
        <v>9</v>
      </c>
      <c r="M50" s="13">
        <f t="shared" si="4"/>
        <v>6390</v>
      </c>
    </row>
    <row r="51" spans="1:13">
      <c r="A51" s="7" t="s">
        <v>43</v>
      </c>
      <c r="B51" s="7" t="s">
        <v>19</v>
      </c>
      <c r="C51" s="9">
        <v>50</v>
      </c>
      <c r="D51" s="10"/>
      <c r="E51" s="10"/>
      <c r="F51" s="9">
        <f t="shared" si="0"/>
        <v>0</v>
      </c>
      <c r="G51" s="11">
        <f t="shared" si="1"/>
        <v>0</v>
      </c>
      <c r="H51" s="12">
        <v>661.22</v>
      </c>
      <c r="I51" s="13">
        <f t="shared" si="2"/>
        <v>0</v>
      </c>
      <c r="J51" s="14">
        <v>710</v>
      </c>
      <c r="K51" s="13">
        <f t="shared" si="3"/>
        <v>0</v>
      </c>
      <c r="L51" s="11">
        <f>G51-'9'!D51</f>
        <v>0</v>
      </c>
      <c r="M51" s="13">
        <f t="shared" si="4"/>
        <v>0</v>
      </c>
    </row>
    <row r="52" spans="1:13">
      <c r="A52" s="7" t="s">
        <v>43</v>
      </c>
      <c r="B52" s="7" t="s">
        <v>20</v>
      </c>
      <c r="C52" s="9">
        <v>50</v>
      </c>
      <c r="D52" s="10"/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f>G52-'9'!D52</f>
        <v>0</v>
      </c>
      <c r="M52" s="13">
        <f t="shared" si="4"/>
        <v>0</v>
      </c>
    </row>
    <row r="53" spans="1:13">
      <c r="A53" s="7" t="s">
        <v>43</v>
      </c>
      <c r="B53" s="7" t="s">
        <v>21</v>
      </c>
      <c r="C53" s="9">
        <v>50</v>
      </c>
      <c r="D53" s="10"/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f>G53-'9'!D53</f>
        <v>0</v>
      </c>
      <c r="M53" s="13">
        <f t="shared" si="4"/>
        <v>0</v>
      </c>
    </row>
    <row r="54" spans="1:13">
      <c r="A54" s="7" t="s">
        <v>43</v>
      </c>
      <c r="B54" s="7" t="s">
        <v>44</v>
      </c>
      <c r="C54" s="9">
        <v>85</v>
      </c>
      <c r="D54" s="10">
        <v>3</v>
      </c>
      <c r="E54" s="10"/>
      <c r="F54" s="9">
        <f t="shared" si="0"/>
        <v>0</v>
      </c>
      <c r="G54" s="11">
        <f t="shared" si="1"/>
        <v>3</v>
      </c>
      <c r="H54" s="12">
        <v>797.07</v>
      </c>
      <c r="I54" s="13">
        <f t="shared" si="2"/>
        <v>2391.21</v>
      </c>
      <c r="J54" s="14">
        <v>845</v>
      </c>
      <c r="K54" s="13">
        <f t="shared" si="3"/>
        <v>2535</v>
      </c>
      <c r="L54" s="11">
        <f>G54-'9'!D54</f>
        <v>0</v>
      </c>
      <c r="M54" s="13">
        <f t="shared" si="4"/>
        <v>0</v>
      </c>
    </row>
    <row r="55" spans="1:13">
      <c r="A55" s="7" t="s">
        <v>45</v>
      </c>
      <c r="B55" s="7" t="s">
        <v>35</v>
      </c>
      <c r="C55" s="9">
        <v>18</v>
      </c>
      <c r="D55" s="10">
        <v>1131</v>
      </c>
      <c r="E55" s="10"/>
      <c r="F55" s="9">
        <f t="shared" si="0"/>
        <v>0</v>
      </c>
      <c r="G55" s="11">
        <f t="shared" si="1"/>
        <v>1131</v>
      </c>
      <c r="H55" s="12">
        <v>160.77000000000001</v>
      </c>
      <c r="I55" s="13">
        <f t="shared" si="2"/>
        <v>181830.87000000002</v>
      </c>
      <c r="J55" s="14">
        <v>175</v>
      </c>
      <c r="K55" s="13">
        <f t="shared" si="3"/>
        <v>197925</v>
      </c>
      <c r="L55" s="11">
        <f>G55-'9'!D55</f>
        <v>34</v>
      </c>
      <c r="M55" s="13">
        <f t="shared" si="4"/>
        <v>5950</v>
      </c>
    </row>
    <row r="56" spans="1:13">
      <c r="A56" s="7" t="s">
        <v>46</v>
      </c>
      <c r="B56" s="7" t="s">
        <v>13</v>
      </c>
      <c r="C56" s="9">
        <v>70</v>
      </c>
      <c r="D56" s="10">
        <v>20</v>
      </c>
      <c r="E56" s="10"/>
      <c r="F56" s="9">
        <f t="shared" si="0"/>
        <v>0</v>
      </c>
      <c r="G56" s="11">
        <f t="shared" si="1"/>
        <v>20</v>
      </c>
      <c r="H56" s="12">
        <v>744.99</v>
      </c>
      <c r="I56" s="13">
        <f t="shared" si="2"/>
        <v>14899.8</v>
      </c>
      <c r="J56" s="14">
        <v>790</v>
      </c>
      <c r="K56" s="13">
        <f t="shared" si="3"/>
        <v>15800</v>
      </c>
      <c r="L56" s="11">
        <f>G56-'9'!D56</f>
        <v>0</v>
      </c>
      <c r="M56" s="13">
        <f t="shared" si="4"/>
        <v>0</v>
      </c>
    </row>
    <row r="57" spans="1:13">
      <c r="A57" s="7" t="s">
        <v>47</v>
      </c>
      <c r="B57" s="7" t="s">
        <v>29</v>
      </c>
      <c r="C57" s="9">
        <v>30</v>
      </c>
      <c r="D57" s="10"/>
      <c r="E57" s="10"/>
      <c r="F57" s="9">
        <f t="shared" si="0"/>
        <v>0</v>
      </c>
      <c r="G57" s="11">
        <f t="shared" si="1"/>
        <v>0</v>
      </c>
      <c r="H57" s="12">
        <v>316.14999999999998</v>
      </c>
      <c r="I57" s="13">
        <f t="shared" si="2"/>
        <v>0</v>
      </c>
      <c r="J57" s="14">
        <v>336</v>
      </c>
      <c r="K57" s="13">
        <f t="shared" si="3"/>
        <v>0</v>
      </c>
      <c r="L57" s="11">
        <f>G57-'9'!D57</f>
        <v>0</v>
      </c>
      <c r="M57" s="13">
        <f t="shared" si="4"/>
        <v>0</v>
      </c>
    </row>
    <row r="58" spans="1:13">
      <c r="A58" s="7" t="s">
        <v>48</v>
      </c>
      <c r="B58" s="7" t="s">
        <v>13</v>
      </c>
      <c r="C58" s="9">
        <v>95</v>
      </c>
      <c r="D58" s="10">
        <v>9</v>
      </c>
      <c r="E58" s="10"/>
      <c r="F58" s="9">
        <f t="shared" si="0"/>
        <v>0</v>
      </c>
      <c r="G58" s="11">
        <f t="shared" si="1"/>
        <v>9</v>
      </c>
      <c r="H58" s="12">
        <v>1042.9000000000001</v>
      </c>
      <c r="I58" s="13">
        <f t="shared" si="2"/>
        <v>9386.1</v>
      </c>
      <c r="J58" s="14">
        <v>1105</v>
      </c>
      <c r="K58" s="13">
        <f t="shared" si="3"/>
        <v>9945</v>
      </c>
      <c r="L58" s="11">
        <f>G58-'9'!D58</f>
        <v>4</v>
      </c>
      <c r="M58" s="13">
        <f t="shared" si="4"/>
        <v>4420</v>
      </c>
    </row>
    <row r="59" spans="1:13">
      <c r="A59" s="7" t="s">
        <v>49</v>
      </c>
      <c r="B59" s="7" t="s">
        <v>35</v>
      </c>
      <c r="C59" s="9">
        <v>28</v>
      </c>
      <c r="D59" s="10">
        <v>29</v>
      </c>
      <c r="E59" s="10"/>
      <c r="F59" s="9">
        <f t="shared" si="0"/>
        <v>0</v>
      </c>
      <c r="G59" s="11">
        <f t="shared" si="1"/>
        <v>29</v>
      </c>
      <c r="H59" s="12">
        <v>165.06</v>
      </c>
      <c r="I59" s="13">
        <f t="shared" si="2"/>
        <v>4786.74</v>
      </c>
      <c r="J59" s="14">
        <v>180</v>
      </c>
      <c r="K59" s="13">
        <f t="shared" si="3"/>
        <v>5220</v>
      </c>
      <c r="L59" s="11">
        <f>G59-'9'!D59</f>
        <v>1</v>
      </c>
      <c r="M59" s="13">
        <f t="shared" si="4"/>
        <v>180</v>
      </c>
    </row>
    <row r="60" spans="1:13">
      <c r="A60" s="7" t="s">
        <v>50</v>
      </c>
      <c r="B60" s="7" t="s">
        <v>17</v>
      </c>
      <c r="C60" s="9">
        <v>70</v>
      </c>
      <c r="D60" s="10"/>
      <c r="E60" s="10"/>
      <c r="F60" s="9">
        <f t="shared" si="0"/>
        <v>0</v>
      </c>
      <c r="G60" s="11">
        <f t="shared" si="1"/>
        <v>0</v>
      </c>
      <c r="H60" s="12">
        <v>721.25</v>
      </c>
      <c r="I60" s="13">
        <f t="shared" si="2"/>
        <v>0</v>
      </c>
      <c r="J60" s="14">
        <v>771</v>
      </c>
      <c r="K60" s="13">
        <f t="shared" si="3"/>
        <v>0</v>
      </c>
      <c r="L60" s="11">
        <f>G60-'9'!D60</f>
        <v>0</v>
      </c>
      <c r="M60" s="13">
        <f t="shared" si="4"/>
        <v>0</v>
      </c>
    </row>
    <row r="61" spans="1:13">
      <c r="A61" s="7" t="s">
        <v>50</v>
      </c>
      <c r="B61" s="7" t="s">
        <v>18</v>
      </c>
      <c r="C61" s="9">
        <v>70</v>
      </c>
      <c r="D61" s="10"/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f>G61-'9'!D61</f>
        <v>0</v>
      </c>
      <c r="M61" s="13">
        <f t="shared" si="4"/>
        <v>0</v>
      </c>
    </row>
    <row r="62" spans="1:13">
      <c r="A62" s="7" t="s">
        <v>51</v>
      </c>
      <c r="B62" s="7" t="s">
        <v>17</v>
      </c>
      <c r="C62" s="9">
        <v>100</v>
      </c>
      <c r="D62" s="10">
        <v>109</v>
      </c>
      <c r="E62" s="10"/>
      <c r="F62" s="9">
        <f t="shared" si="0"/>
        <v>0</v>
      </c>
      <c r="G62" s="11">
        <f t="shared" si="1"/>
        <v>109</v>
      </c>
      <c r="H62" s="12">
        <v>790.89</v>
      </c>
      <c r="I62" s="13">
        <f t="shared" si="2"/>
        <v>86207.01</v>
      </c>
      <c r="J62" s="14">
        <v>845</v>
      </c>
      <c r="K62" s="13">
        <f t="shared" si="3"/>
        <v>92105</v>
      </c>
      <c r="L62" s="11">
        <f>G62-'9'!D62</f>
        <v>47</v>
      </c>
      <c r="M62" s="13">
        <f t="shared" si="4"/>
        <v>39715</v>
      </c>
    </row>
    <row r="63" spans="1:13">
      <c r="A63" s="7" t="s">
        <v>51</v>
      </c>
      <c r="B63" s="7" t="s">
        <v>18</v>
      </c>
      <c r="C63" s="9">
        <v>100</v>
      </c>
      <c r="D63" s="10">
        <v>108</v>
      </c>
      <c r="E63" s="10"/>
      <c r="F63" s="9">
        <f t="shared" si="0"/>
        <v>0</v>
      </c>
      <c r="G63" s="11">
        <f t="shared" si="1"/>
        <v>108</v>
      </c>
      <c r="H63" s="12">
        <v>790.89</v>
      </c>
      <c r="I63" s="13">
        <f t="shared" si="2"/>
        <v>85416.12</v>
      </c>
      <c r="J63" s="14">
        <v>845</v>
      </c>
      <c r="K63" s="13">
        <f t="shared" si="3"/>
        <v>91260</v>
      </c>
      <c r="L63" s="11">
        <f>G63-'9'!D63</f>
        <v>30</v>
      </c>
      <c r="M63" s="13">
        <f t="shared" si="4"/>
        <v>25350</v>
      </c>
    </row>
    <row r="64" spans="1:13">
      <c r="A64" s="7" t="s">
        <v>51</v>
      </c>
      <c r="B64" s="7" t="s">
        <v>19</v>
      </c>
      <c r="C64" s="9">
        <v>100</v>
      </c>
      <c r="D64" s="10"/>
      <c r="E64" s="10"/>
      <c r="F64" s="9">
        <f t="shared" si="0"/>
        <v>0</v>
      </c>
      <c r="G64" s="11">
        <f t="shared" si="1"/>
        <v>0</v>
      </c>
      <c r="H64" s="12">
        <v>790.89</v>
      </c>
      <c r="I64" s="13">
        <f t="shared" si="2"/>
        <v>0</v>
      </c>
      <c r="J64" s="14">
        <v>845</v>
      </c>
      <c r="K64" s="13">
        <f t="shared" si="3"/>
        <v>0</v>
      </c>
      <c r="L64" s="11">
        <f>G64-'9'!D64</f>
        <v>0</v>
      </c>
      <c r="M64" s="13">
        <f t="shared" si="4"/>
        <v>0</v>
      </c>
    </row>
    <row r="65" spans="1:13">
      <c r="A65" s="7" t="s">
        <v>51</v>
      </c>
      <c r="B65" s="7" t="s">
        <v>20</v>
      </c>
      <c r="C65" s="9">
        <v>100</v>
      </c>
      <c r="D65" s="10"/>
      <c r="E65" s="11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f>G65-'9'!D65</f>
        <v>0</v>
      </c>
      <c r="M65" s="13">
        <f t="shared" si="4"/>
        <v>0</v>
      </c>
    </row>
    <row r="66" spans="1:13">
      <c r="A66" s="7" t="s">
        <v>51</v>
      </c>
      <c r="B66" s="7" t="s">
        <v>21</v>
      </c>
      <c r="C66" s="9">
        <v>100</v>
      </c>
      <c r="D66" s="10"/>
      <c r="E66" s="11"/>
      <c r="F66" s="15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f>G66-'9'!D66</f>
        <v>0</v>
      </c>
      <c r="M66" s="13">
        <f t="shared" si="4"/>
        <v>0</v>
      </c>
    </row>
    <row r="67" spans="1:13">
      <c r="A67" s="35" t="s">
        <v>52</v>
      </c>
      <c r="B67" s="36"/>
      <c r="C67" s="37"/>
      <c r="D67" s="16">
        <f>SUM(D2:D66)</f>
        <v>4153</v>
      </c>
      <c r="E67" s="17">
        <f>SUM(E2:E66)</f>
        <v>100</v>
      </c>
      <c r="F67" s="18">
        <f>SUM(F2:F66)</f>
        <v>124422.8</v>
      </c>
      <c r="G67" s="17">
        <f>SUM(G2:G66)</f>
        <v>4253</v>
      </c>
      <c r="H67" s="19"/>
      <c r="I67" s="20">
        <f>SUM(I2:I66)</f>
        <v>1376671.12</v>
      </c>
      <c r="J67" s="21">
        <f>SUM(J2:J66)</f>
        <v>39088</v>
      </c>
      <c r="K67" s="22">
        <f>SUM(K2:K66)</f>
        <v>1476511</v>
      </c>
      <c r="L67" s="23">
        <f>SUM(L2:L66)</f>
        <v>512</v>
      </c>
      <c r="M67" s="24">
        <f>SUM(M2:M66)</f>
        <v>279653</v>
      </c>
    </row>
    <row r="70" spans="1:13">
      <c r="F70" s="31"/>
    </row>
    <row r="73" spans="1:13">
      <c r="I73" s="33"/>
      <c r="J73" s="32"/>
      <c r="K73" s="33"/>
    </row>
    <row r="74" spans="1:13">
      <c r="I74" s="33"/>
      <c r="J74" s="32"/>
      <c r="K74" s="33"/>
    </row>
    <row r="75" spans="1:13">
      <c r="I75" s="33"/>
      <c r="J75" s="29"/>
      <c r="K75" s="30"/>
    </row>
    <row r="76" spans="1:13">
      <c r="D76" s="25" t="s">
        <v>53</v>
      </c>
      <c r="I76" s="33"/>
      <c r="J76" s="34"/>
      <c r="K76" s="34"/>
    </row>
    <row r="77" spans="1:13">
      <c r="I77" s="33"/>
      <c r="J77" s="32"/>
      <c r="K77" s="33"/>
    </row>
    <row r="78" spans="1:13">
      <c r="F78" s="26"/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</row>
  </sheetData>
  <mergeCells count="1">
    <mergeCell ref="A67:C6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80"/>
  <sheetViews>
    <sheetView topLeftCell="A52" workbookViewId="0">
      <selection activeCell="D77" sqref="D77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434</v>
      </c>
      <c r="E2" s="11"/>
      <c r="F2" s="9">
        <f>E2*H2</f>
        <v>0</v>
      </c>
      <c r="G2" s="11">
        <f>D2+E2</f>
        <v>434</v>
      </c>
      <c r="H2" s="12">
        <v>308.13</v>
      </c>
      <c r="I2" s="13">
        <f>H2*D2</f>
        <v>133728.41999999998</v>
      </c>
      <c r="J2" s="14">
        <v>326</v>
      </c>
      <c r="K2" s="13">
        <f>J2*D2</f>
        <v>141484</v>
      </c>
      <c r="L2" s="11">
        <f>G2-'10'!D2</f>
        <v>19</v>
      </c>
      <c r="M2" s="13">
        <f>L2*J2</f>
        <v>6194</v>
      </c>
    </row>
    <row r="3" spans="1:13">
      <c r="A3" s="7" t="s">
        <v>12</v>
      </c>
      <c r="B3" s="8" t="s">
        <v>14</v>
      </c>
      <c r="C3" s="9">
        <v>9</v>
      </c>
      <c r="D3" s="10">
        <v>99</v>
      </c>
      <c r="E3" s="11"/>
      <c r="F3" s="9">
        <f t="shared" ref="F3:F66" si="0">E3*H3</f>
        <v>0</v>
      </c>
      <c r="G3" s="11">
        <f t="shared" ref="G3:G66" si="1">D3+E3</f>
        <v>99</v>
      </c>
      <c r="H3" s="12">
        <v>308.19</v>
      </c>
      <c r="I3" s="13">
        <f t="shared" ref="I3:I66" si="2">H3*D3</f>
        <v>30510.81</v>
      </c>
      <c r="J3" s="14">
        <v>326</v>
      </c>
      <c r="K3" s="13">
        <f t="shared" ref="K3:K66" si="3">J3*D3</f>
        <v>32274</v>
      </c>
      <c r="L3" s="11">
        <f>G3-'10'!D3</f>
        <v>4</v>
      </c>
      <c r="M3" s="13">
        <f t="shared" ref="M3:M66" si="4">L3*J3</f>
        <v>1304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f>G4-'10'!D4</f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271</v>
      </c>
      <c r="E5" s="11"/>
      <c r="F5" s="9">
        <f t="shared" si="0"/>
        <v>0</v>
      </c>
      <c r="G5" s="11">
        <f t="shared" si="1"/>
        <v>271</v>
      </c>
      <c r="H5" s="12">
        <v>174.77</v>
      </c>
      <c r="I5" s="13">
        <f t="shared" si="2"/>
        <v>47362.670000000006</v>
      </c>
      <c r="J5" s="14">
        <v>192</v>
      </c>
      <c r="K5" s="13">
        <f t="shared" si="3"/>
        <v>52032</v>
      </c>
      <c r="L5" s="11">
        <f>G5-'10'!D5</f>
        <v>16</v>
      </c>
      <c r="M5" s="13">
        <f t="shared" si="4"/>
        <v>3072</v>
      </c>
    </row>
    <row r="6" spans="1:13">
      <c r="A6" s="7" t="s">
        <v>16</v>
      </c>
      <c r="B6" s="8" t="s">
        <v>18</v>
      </c>
      <c r="C6" s="9">
        <v>10</v>
      </c>
      <c r="D6" s="10">
        <v>227</v>
      </c>
      <c r="E6" s="11"/>
      <c r="F6" s="9">
        <f t="shared" si="0"/>
        <v>0</v>
      </c>
      <c r="G6" s="11">
        <f t="shared" si="1"/>
        <v>227</v>
      </c>
      <c r="H6" s="12">
        <v>174.77</v>
      </c>
      <c r="I6" s="13">
        <f t="shared" si="2"/>
        <v>39672.79</v>
      </c>
      <c r="J6" s="14">
        <v>192</v>
      </c>
      <c r="K6" s="13">
        <f t="shared" si="3"/>
        <v>43584</v>
      </c>
      <c r="L6" s="11">
        <f>G6-'10'!D6</f>
        <v>10</v>
      </c>
      <c r="M6" s="13">
        <f t="shared" si="4"/>
        <v>1920</v>
      </c>
    </row>
    <row r="7" spans="1:13">
      <c r="A7" s="7" t="s">
        <v>16</v>
      </c>
      <c r="B7" s="8" t="s">
        <v>19</v>
      </c>
      <c r="C7" s="9">
        <v>10</v>
      </c>
      <c r="D7" s="10">
        <v>44</v>
      </c>
      <c r="E7" s="11"/>
      <c r="F7" s="9">
        <f t="shared" si="0"/>
        <v>0</v>
      </c>
      <c r="G7" s="11">
        <f t="shared" si="1"/>
        <v>44</v>
      </c>
      <c r="H7" s="12">
        <v>174.77</v>
      </c>
      <c r="I7" s="13">
        <f t="shared" si="2"/>
        <v>7689.88</v>
      </c>
      <c r="J7" s="14">
        <v>192</v>
      </c>
      <c r="K7" s="13">
        <f t="shared" si="3"/>
        <v>8448</v>
      </c>
      <c r="L7" s="11">
        <f>G7-'10'!D7</f>
        <v>1</v>
      </c>
      <c r="M7" s="13">
        <f t="shared" si="4"/>
        <v>192</v>
      </c>
    </row>
    <row r="8" spans="1:13">
      <c r="A8" s="7" t="s">
        <v>16</v>
      </c>
      <c r="B8" s="8" t="s">
        <v>20</v>
      </c>
      <c r="C8" s="9">
        <v>10</v>
      </c>
      <c r="D8" s="10">
        <v>52</v>
      </c>
      <c r="E8" s="11"/>
      <c r="F8" s="9">
        <f t="shared" si="0"/>
        <v>0</v>
      </c>
      <c r="G8" s="11">
        <f t="shared" si="1"/>
        <v>52</v>
      </c>
      <c r="H8" s="12">
        <v>174.77</v>
      </c>
      <c r="I8" s="13">
        <f t="shared" si="2"/>
        <v>9088.0400000000009</v>
      </c>
      <c r="J8" s="14">
        <v>192</v>
      </c>
      <c r="K8" s="13">
        <f t="shared" si="3"/>
        <v>9984</v>
      </c>
      <c r="L8" s="11">
        <f>G8-'10'!D8</f>
        <v>3</v>
      </c>
      <c r="M8" s="13">
        <f t="shared" si="4"/>
        <v>576</v>
      </c>
    </row>
    <row r="9" spans="1:13">
      <c r="A9" s="7" t="s">
        <v>16</v>
      </c>
      <c r="B9" s="8" t="s">
        <v>21</v>
      </c>
      <c r="C9" s="9">
        <v>10</v>
      </c>
      <c r="D9" s="10">
        <v>156</v>
      </c>
      <c r="E9" s="11"/>
      <c r="F9" s="9">
        <f t="shared" si="0"/>
        <v>0</v>
      </c>
      <c r="G9" s="11">
        <f t="shared" si="1"/>
        <v>156</v>
      </c>
      <c r="H9" s="12">
        <v>174.77</v>
      </c>
      <c r="I9" s="13">
        <f t="shared" si="2"/>
        <v>27264.120000000003</v>
      </c>
      <c r="J9" s="14">
        <v>192</v>
      </c>
      <c r="K9" s="13">
        <f t="shared" si="3"/>
        <v>29952</v>
      </c>
      <c r="L9" s="11">
        <f>G9-'10'!D9</f>
        <v>2</v>
      </c>
      <c r="M9" s="13">
        <f t="shared" si="4"/>
        <v>384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f>G10-'10'!D10</f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28</v>
      </c>
      <c r="E11" s="11"/>
      <c r="F11" s="9">
        <f t="shared" si="0"/>
        <v>0</v>
      </c>
      <c r="G11" s="11">
        <f t="shared" si="1"/>
        <v>28</v>
      </c>
      <c r="H11" s="12">
        <v>470.8</v>
      </c>
      <c r="I11" s="13">
        <f t="shared" si="2"/>
        <v>13182.4</v>
      </c>
      <c r="J11" s="14">
        <v>505</v>
      </c>
      <c r="K11" s="13">
        <f t="shared" si="3"/>
        <v>14140</v>
      </c>
      <c r="L11" s="11">
        <f>G11-'10'!D11</f>
        <v>2</v>
      </c>
      <c r="M11" s="13">
        <f t="shared" si="4"/>
        <v>1010</v>
      </c>
    </row>
    <row r="12" spans="1:13">
      <c r="A12" s="7" t="s">
        <v>22</v>
      </c>
      <c r="B12" s="8" t="s">
        <v>17</v>
      </c>
      <c r="C12" s="9">
        <v>20</v>
      </c>
      <c r="D12" s="10">
        <v>188</v>
      </c>
      <c r="E12" s="11">
        <v>314</v>
      </c>
      <c r="F12" s="9">
        <f>E12*H12</f>
        <v>149391.78</v>
      </c>
      <c r="G12" s="11">
        <f t="shared" si="1"/>
        <v>502</v>
      </c>
      <c r="H12" s="12">
        <v>475.77</v>
      </c>
      <c r="I12" s="13">
        <f t="shared" si="2"/>
        <v>89444.76</v>
      </c>
      <c r="J12" s="14">
        <v>505</v>
      </c>
      <c r="K12" s="13">
        <f t="shared" si="3"/>
        <v>94940</v>
      </c>
      <c r="L12" s="11">
        <f>G12-'10'!D12</f>
        <v>69</v>
      </c>
      <c r="M12" s="13">
        <f t="shared" si="4"/>
        <v>34845</v>
      </c>
    </row>
    <row r="13" spans="1:13">
      <c r="A13" s="7" t="s">
        <v>22</v>
      </c>
      <c r="B13" s="8" t="s">
        <v>18</v>
      </c>
      <c r="C13" s="9">
        <v>20</v>
      </c>
      <c r="D13" s="10">
        <v>175</v>
      </c>
      <c r="E13" s="11">
        <v>130</v>
      </c>
      <c r="F13" s="9">
        <f t="shared" si="0"/>
        <v>61850.1</v>
      </c>
      <c r="G13" s="11">
        <f t="shared" si="1"/>
        <v>305</v>
      </c>
      <c r="H13" s="12">
        <v>475.77</v>
      </c>
      <c r="I13" s="13">
        <f t="shared" si="2"/>
        <v>83259.75</v>
      </c>
      <c r="J13" s="14">
        <v>505</v>
      </c>
      <c r="K13" s="13">
        <f t="shared" si="3"/>
        <v>88375</v>
      </c>
      <c r="L13" s="11">
        <f>G13-'10'!D13</f>
        <v>43</v>
      </c>
      <c r="M13" s="13">
        <f t="shared" si="4"/>
        <v>21715</v>
      </c>
    </row>
    <row r="14" spans="1:13">
      <c r="A14" s="7" t="s">
        <v>22</v>
      </c>
      <c r="B14" s="8" t="s">
        <v>19</v>
      </c>
      <c r="C14" s="9">
        <v>20</v>
      </c>
      <c r="D14" s="10">
        <v>20</v>
      </c>
      <c r="E14" s="11"/>
      <c r="F14" s="9">
        <f t="shared" si="0"/>
        <v>0</v>
      </c>
      <c r="G14" s="11">
        <f t="shared" si="1"/>
        <v>20</v>
      </c>
      <c r="H14" s="12">
        <v>470.8</v>
      </c>
      <c r="I14" s="13">
        <f t="shared" si="2"/>
        <v>9416</v>
      </c>
      <c r="J14" s="14">
        <v>505</v>
      </c>
      <c r="K14" s="13">
        <f t="shared" si="3"/>
        <v>10100</v>
      </c>
      <c r="L14" s="11">
        <f>G14-'10'!D14</f>
        <v>6</v>
      </c>
      <c r="M14" s="13">
        <f t="shared" si="4"/>
        <v>3030</v>
      </c>
    </row>
    <row r="15" spans="1:13">
      <c r="A15" s="7" t="s">
        <v>22</v>
      </c>
      <c r="B15" s="8" t="s">
        <v>20</v>
      </c>
      <c r="C15" s="9">
        <v>20</v>
      </c>
      <c r="D15" s="10">
        <v>34</v>
      </c>
      <c r="E15" s="11"/>
      <c r="F15" s="9">
        <f t="shared" si="0"/>
        <v>0</v>
      </c>
      <c r="G15" s="11">
        <f t="shared" si="1"/>
        <v>34</v>
      </c>
      <c r="H15" s="12">
        <v>470.8</v>
      </c>
      <c r="I15" s="13">
        <f t="shared" si="2"/>
        <v>16007.2</v>
      </c>
      <c r="J15" s="14">
        <v>505</v>
      </c>
      <c r="K15" s="13">
        <f t="shared" si="3"/>
        <v>17170</v>
      </c>
      <c r="L15" s="11">
        <f>G15-'10'!D15</f>
        <v>3</v>
      </c>
      <c r="M15" s="13">
        <f t="shared" si="4"/>
        <v>1515</v>
      </c>
    </row>
    <row r="16" spans="1:13">
      <c r="A16" s="7" t="s">
        <v>22</v>
      </c>
      <c r="B16" s="8" t="s">
        <v>21</v>
      </c>
      <c r="C16" s="9">
        <v>20</v>
      </c>
      <c r="D16" s="10"/>
      <c r="E16" s="11"/>
      <c r="F16" s="9">
        <f t="shared" si="0"/>
        <v>0</v>
      </c>
      <c r="G16" s="11">
        <f t="shared" si="1"/>
        <v>0</v>
      </c>
      <c r="H16" s="12">
        <v>470.8</v>
      </c>
      <c r="I16" s="13">
        <f t="shared" si="2"/>
        <v>0</v>
      </c>
      <c r="J16" s="14">
        <v>505</v>
      </c>
      <c r="K16" s="13">
        <f t="shared" si="3"/>
        <v>0</v>
      </c>
      <c r="L16" s="11">
        <f>G16-'10'!D16</f>
        <v>0</v>
      </c>
      <c r="M16" s="13">
        <f t="shared" si="4"/>
        <v>0</v>
      </c>
    </row>
    <row r="17" spans="1:13">
      <c r="A17" s="7" t="s">
        <v>22</v>
      </c>
      <c r="B17" s="8" t="s">
        <v>29</v>
      </c>
      <c r="C17" s="9">
        <v>11</v>
      </c>
      <c r="D17" s="10">
        <v>69</v>
      </c>
      <c r="E17" s="11"/>
      <c r="F17" s="9">
        <f t="shared" si="0"/>
        <v>0</v>
      </c>
      <c r="G17" s="11">
        <f t="shared" si="1"/>
        <v>69</v>
      </c>
      <c r="H17" s="12">
        <v>235.59</v>
      </c>
      <c r="I17" s="13">
        <f t="shared" si="2"/>
        <v>16255.710000000001</v>
      </c>
      <c r="J17" s="14">
        <v>250</v>
      </c>
      <c r="K17" s="13">
        <f t="shared" si="3"/>
        <v>17250</v>
      </c>
      <c r="L17" s="11">
        <f>G17-'10'!D17</f>
        <v>3</v>
      </c>
      <c r="M17" s="13">
        <f t="shared" si="4"/>
        <v>750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f>G18-'10'!D18</f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/>
      <c r="E19" s="11"/>
      <c r="F19" s="9">
        <f t="shared" si="0"/>
        <v>0</v>
      </c>
      <c r="G19" s="11">
        <f t="shared" si="1"/>
        <v>0</v>
      </c>
      <c r="H19" s="12">
        <v>204</v>
      </c>
      <c r="I19" s="13">
        <f t="shared" si="2"/>
        <v>0</v>
      </c>
      <c r="J19" s="14">
        <v>230</v>
      </c>
      <c r="K19" s="13">
        <f t="shared" si="3"/>
        <v>0</v>
      </c>
      <c r="L19" s="11">
        <f>G19-'10'!D19</f>
        <v>0</v>
      </c>
      <c r="M19" s="13">
        <f t="shared" si="4"/>
        <v>0</v>
      </c>
    </row>
    <row r="20" spans="1:13">
      <c r="A20" s="7" t="s">
        <v>22</v>
      </c>
      <c r="B20" s="8" t="s">
        <v>25</v>
      </c>
      <c r="C20" s="9">
        <v>10</v>
      </c>
      <c r="D20" s="10"/>
      <c r="E20" s="11"/>
      <c r="F20" s="9">
        <f t="shared" si="0"/>
        <v>0</v>
      </c>
      <c r="G20" s="11">
        <f t="shared" si="1"/>
        <v>0</v>
      </c>
      <c r="H20" s="12">
        <v>204</v>
      </c>
      <c r="I20" s="13">
        <f>H20*D20</f>
        <v>0</v>
      </c>
      <c r="J20" s="14">
        <v>230</v>
      </c>
      <c r="K20" s="13">
        <f t="shared" si="3"/>
        <v>0</v>
      </c>
      <c r="L20" s="11">
        <f>G20-'10'!D20</f>
        <v>0</v>
      </c>
      <c r="M20" s="13">
        <f t="shared" si="4"/>
        <v>0</v>
      </c>
    </row>
    <row r="21" spans="1:13">
      <c r="A21" s="7" t="s">
        <v>22</v>
      </c>
      <c r="B21" s="8" t="s">
        <v>26</v>
      </c>
      <c r="C21" s="9">
        <v>10</v>
      </c>
      <c r="D21" s="10">
        <v>28</v>
      </c>
      <c r="E21" s="11"/>
      <c r="F21" s="9">
        <f t="shared" si="0"/>
        <v>0</v>
      </c>
      <c r="G21" s="11">
        <f t="shared" si="1"/>
        <v>28</v>
      </c>
      <c r="H21" s="12">
        <v>204</v>
      </c>
      <c r="I21" s="13">
        <f t="shared" si="2"/>
        <v>5712</v>
      </c>
      <c r="J21" s="14">
        <v>230</v>
      </c>
      <c r="K21" s="13">
        <f t="shared" si="3"/>
        <v>6440</v>
      </c>
      <c r="L21" s="11">
        <f>G21-'10'!D21</f>
        <v>3</v>
      </c>
      <c r="M21" s="13">
        <f t="shared" si="4"/>
        <v>690</v>
      </c>
    </row>
    <row r="22" spans="1:13">
      <c r="A22" s="7" t="s">
        <v>22</v>
      </c>
      <c r="B22" s="8" t="s">
        <v>13</v>
      </c>
      <c r="C22" s="9">
        <v>19</v>
      </c>
      <c r="D22" s="10">
        <v>0</v>
      </c>
      <c r="E22" s="11"/>
      <c r="F22" s="9">
        <f t="shared" si="0"/>
        <v>0</v>
      </c>
      <c r="G22" s="11">
        <f t="shared" si="1"/>
        <v>0</v>
      </c>
      <c r="H22" s="12">
        <v>474.46</v>
      </c>
      <c r="I22" s="13">
        <f t="shared" si="2"/>
        <v>0</v>
      </c>
      <c r="J22" s="14">
        <v>505</v>
      </c>
      <c r="K22" s="13">
        <f t="shared" si="3"/>
        <v>0</v>
      </c>
      <c r="L22" s="11">
        <f>G22-'10'!D22</f>
        <v>0</v>
      </c>
      <c r="M22" s="13">
        <f t="shared" si="4"/>
        <v>0</v>
      </c>
    </row>
    <row r="23" spans="1:13">
      <c r="A23" s="7" t="s">
        <v>22</v>
      </c>
      <c r="B23" s="8" t="s">
        <v>27</v>
      </c>
      <c r="C23" s="9">
        <v>24</v>
      </c>
      <c r="D23" s="10">
        <v>154</v>
      </c>
      <c r="E23" s="11"/>
      <c r="F23" s="9">
        <f t="shared" si="0"/>
        <v>0</v>
      </c>
      <c r="G23" s="11">
        <f t="shared" si="1"/>
        <v>154</v>
      </c>
      <c r="H23" s="12">
        <v>593.91999999999996</v>
      </c>
      <c r="I23" s="13">
        <f t="shared" si="2"/>
        <v>91463.679999999993</v>
      </c>
      <c r="J23" s="14">
        <v>630</v>
      </c>
      <c r="K23" s="13">
        <f t="shared" si="3"/>
        <v>97020</v>
      </c>
      <c r="L23" s="11">
        <f>G23-'10'!D23</f>
        <v>18</v>
      </c>
      <c r="M23" s="13">
        <f t="shared" si="4"/>
        <v>11340</v>
      </c>
    </row>
    <row r="24" spans="1:13">
      <c r="A24" s="7" t="s">
        <v>30</v>
      </c>
      <c r="B24" s="8" t="s">
        <v>17</v>
      </c>
      <c r="C24" s="9">
        <v>25</v>
      </c>
      <c r="D24" s="10">
        <v>95</v>
      </c>
      <c r="E24" s="10"/>
      <c r="F24" s="9">
        <f t="shared" si="0"/>
        <v>0</v>
      </c>
      <c r="G24" s="11">
        <f t="shared" si="1"/>
        <v>95</v>
      </c>
      <c r="H24" s="12">
        <v>453.3</v>
      </c>
      <c r="I24" s="13">
        <f t="shared" si="2"/>
        <v>43063.5</v>
      </c>
      <c r="J24" s="14">
        <v>493</v>
      </c>
      <c r="K24" s="13">
        <f t="shared" si="3"/>
        <v>46835</v>
      </c>
      <c r="L24" s="11">
        <f>G24-'10'!D24</f>
        <v>20</v>
      </c>
      <c r="M24" s="13">
        <f t="shared" si="4"/>
        <v>9860</v>
      </c>
    </row>
    <row r="25" spans="1:13">
      <c r="A25" s="7" t="s">
        <v>30</v>
      </c>
      <c r="B25" s="8" t="s">
        <v>18</v>
      </c>
      <c r="C25" s="9">
        <v>25</v>
      </c>
      <c r="D25" s="10">
        <v>30</v>
      </c>
      <c r="E25" s="10"/>
      <c r="F25" s="9">
        <f t="shared" si="0"/>
        <v>0</v>
      </c>
      <c r="G25" s="11">
        <f t="shared" si="1"/>
        <v>30</v>
      </c>
      <c r="H25" s="12">
        <v>453.3</v>
      </c>
      <c r="I25" s="13">
        <f t="shared" si="2"/>
        <v>13599</v>
      </c>
      <c r="J25" s="14">
        <v>493</v>
      </c>
      <c r="K25" s="13">
        <f t="shared" si="3"/>
        <v>14790</v>
      </c>
      <c r="L25" s="11">
        <f>G25-'10'!D25</f>
        <v>10</v>
      </c>
      <c r="M25" s="13">
        <f t="shared" si="4"/>
        <v>4930</v>
      </c>
    </row>
    <row r="26" spans="1:13">
      <c r="A26" s="7" t="s">
        <v>30</v>
      </c>
      <c r="B26" s="8" t="s">
        <v>20</v>
      </c>
      <c r="C26" s="9">
        <v>25</v>
      </c>
      <c r="D26" s="10"/>
      <c r="E26" s="10"/>
      <c r="F26" s="9">
        <f t="shared" si="0"/>
        <v>0</v>
      </c>
      <c r="G26" s="11">
        <f t="shared" si="1"/>
        <v>0</v>
      </c>
      <c r="H26" s="12">
        <v>453.3</v>
      </c>
      <c r="I26" s="13">
        <f t="shared" si="2"/>
        <v>0</v>
      </c>
      <c r="J26" s="14">
        <v>493</v>
      </c>
      <c r="K26" s="13">
        <f t="shared" si="3"/>
        <v>0</v>
      </c>
      <c r="L26" s="11">
        <f>G26-'10'!D26</f>
        <v>0</v>
      </c>
      <c r="M26" s="13">
        <f t="shared" si="4"/>
        <v>0</v>
      </c>
    </row>
    <row r="27" spans="1:13">
      <c r="A27" s="7" t="s">
        <v>30</v>
      </c>
      <c r="B27" s="8" t="s">
        <v>21</v>
      </c>
      <c r="C27" s="9">
        <v>25</v>
      </c>
      <c r="D27" s="10"/>
      <c r="E27" s="10"/>
      <c r="F27" s="9">
        <f t="shared" si="0"/>
        <v>0</v>
      </c>
      <c r="G27" s="11">
        <f t="shared" si="1"/>
        <v>0</v>
      </c>
      <c r="H27" s="12">
        <v>453.3</v>
      </c>
      <c r="I27" s="13">
        <f t="shared" si="2"/>
        <v>0</v>
      </c>
      <c r="J27" s="14">
        <v>493</v>
      </c>
      <c r="K27" s="13">
        <f t="shared" si="3"/>
        <v>0</v>
      </c>
      <c r="L27" s="11">
        <f>G27-'10'!D27</f>
        <v>0</v>
      </c>
      <c r="M27" s="13">
        <f t="shared" si="4"/>
        <v>0</v>
      </c>
    </row>
    <row r="28" spans="1:13">
      <c r="A28" s="7" t="s">
        <v>31</v>
      </c>
      <c r="B28" s="7" t="s">
        <v>17</v>
      </c>
      <c r="C28" s="9">
        <v>40</v>
      </c>
      <c r="D28" s="10"/>
      <c r="E28" s="10"/>
      <c r="F28" s="9">
        <f t="shared" si="0"/>
        <v>0</v>
      </c>
      <c r="G28" s="11">
        <f t="shared" si="1"/>
        <v>0</v>
      </c>
      <c r="H28" s="12">
        <v>821.36</v>
      </c>
      <c r="I28" s="13">
        <f t="shared" si="2"/>
        <v>0</v>
      </c>
      <c r="J28" s="14">
        <v>878</v>
      </c>
      <c r="K28" s="13">
        <f t="shared" si="3"/>
        <v>0</v>
      </c>
      <c r="L28" s="11">
        <f>G28-'10'!D28</f>
        <v>0</v>
      </c>
      <c r="M28" s="13">
        <f t="shared" si="4"/>
        <v>0</v>
      </c>
    </row>
    <row r="29" spans="1:13">
      <c r="A29" s="7" t="s">
        <v>31</v>
      </c>
      <c r="B29" s="7" t="s">
        <v>18</v>
      </c>
      <c r="C29" s="9">
        <v>40</v>
      </c>
      <c r="D29" s="10"/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f>G29-'10'!D29</f>
        <v>0</v>
      </c>
      <c r="M29" s="13">
        <f t="shared" si="4"/>
        <v>0</v>
      </c>
    </row>
    <row r="30" spans="1:13">
      <c r="A30" s="7" t="s">
        <v>31</v>
      </c>
      <c r="B30" s="7" t="s">
        <v>19</v>
      </c>
      <c r="C30" s="9">
        <v>40</v>
      </c>
      <c r="D30" s="10"/>
      <c r="E30" s="10"/>
      <c r="F30" s="9">
        <f t="shared" si="0"/>
        <v>0</v>
      </c>
      <c r="G30" s="11">
        <f t="shared" si="1"/>
        <v>0</v>
      </c>
      <c r="H30" s="12">
        <v>817.58</v>
      </c>
      <c r="I30" s="13">
        <f t="shared" si="2"/>
        <v>0</v>
      </c>
      <c r="J30" s="14">
        <v>878</v>
      </c>
      <c r="K30" s="13">
        <f t="shared" si="3"/>
        <v>0</v>
      </c>
      <c r="L30" s="11">
        <f>G30-'10'!D30</f>
        <v>0</v>
      </c>
      <c r="M30" s="13">
        <f t="shared" si="4"/>
        <v>0</v>
      </c>
    </row>
    <row r="31" spans="1:13">
      <c r="A31" s="7" t="s">
        <v>31</v>
      </c>
      <c r="B31" s="7" t="s">
        <v>20</v>
      </c>
      <c r="C31" s="9">
        <v>40</v>
      </c>
      <c r="D31" s="10"/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f>G31-'10'!D31</f>
        <v>0</v>
      </c>
      <c r="M31" s="13">
        <f t="shared" si="4"/>
        <v>0</v>
      </c>
    </row>
    <row r="32" spans="1:13">
      <c r="A32" s="7" t="s">
        <v>31</v>
      </c>
      <c r="B32" s="7" t="s">
        <v>21</v>
      </c>
      <c r="C32" s="9">
        <v>40</v>
      </c>
      <c r="D32" s="10"/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f>G32-'10'!D32</f>
        <v>0</v>
      </c>
      <c r="M32" s="13">
        <f t="shared" si="4"/>
        <v>0</v>
      </c>
    </row>
    <row r="33" spans="1:13">
      <c r="A33" s="7" t="s">
        <v>31</v>
      </c>
      <c r="B33" s="7" t="s">
        <v>32</v>
      </c>
      <c r="C33" s="9">
        <v>40</v>
      </c>
      <c r="D33" s="10"/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f>G33-'10'!D33</f>
        <v>0</v>
      </c>
      <c r="M33" s="13">
        <f t="shared" si="4"/>
        <v>0</v>
      </c>
    </row>
    <row r="34" spans="1:13">
      <c r="A34" s="7" t="s">
        <v>31</v>
      </c>
      <c r="B34" s="7" t="s">
        <v>33</v>
      </c>
      <c r="C34" s="9">
        <v>60</v>
      </c>
      <c r="D34" s="10">
        <v>68</v>
      </c>
      <c r="E34" s="10">
        <v>286</v>
      </c>
      <c r="F34" s="9">
        <f t="shared" si="0"/>
        <v>298197.90000000002</v>
      </c>
      <c r="G34" s="11">
        <f t="shared" si="1"/>
        <v>354</v>
      </c>
      <c r="H34" s="12">
        <v>1042.6500000000001</v>
      </c>
      <c r="I34" s="13">
        <f t="shared" si="2"/>
        <v>70900.200000000012</v>
      </c>
      <c r="J34" s="14">
        <v>1110</v>
      </c>
      <c r="K34" s="13">
        <f t="shared" si="3"/>
        <v>75480</v>
      </c>
      <c r="L34" s="11">
        <f>G34-'10'!D34</f>
        <v>22</v>
      </c>
      <c r="M34" s="13">
        <f t="shared" si="4"/>
        <v>24420</v>
      </c>
    </row>
    <row r="35" spans="1:13">
      <c r="A35" s="7" t="s">
        <v>34</v>
      </c>
      <c r="B35" s="7" t="s">
        <v>35</v>
      </c>
      <c r="C35" s="9">
        <v>7</v>
      </c>
      <c r="D35" s="10">
        <v>11</v>
      </c>
      <c r="E35" s="10"/>
      <c r="F35" s="9">
        <f t="shared" si="0"/>
        <v>0</v>
      </c>
      <c r="G35" s="11">
        <f t="shared" si="1"/>
        <v>11</v>
      </c>
      <c r="H35" s="12">
        <v>126.24</v>
      </c>
      <c r="I35" s="13">
        <f t="shared" si="2"/>
        <v>1388.6399999999999</v>
      </c>
      <c r="J35" s="14">
        <v>140</v>
      </c>
      <c r="K35" s="13">
        <f t="shared" si="3"/>
        <v>1540</v>
      </c>
      <c r="L35" s="11">
        <f>G35-'10'!D35</f>
        <v>0</v>
      </c>
      <c r="M35" s="13">
        <f t="shared" si="4"/>
        <v>0</v>
      </c>
    </row>
    <row r="36" spans="1:13">
      <c r="A36" s="7" t="s">
        <v>36</v>
      </c>
      <c r="B36" s="7" t="s">
        <v>37</v>
      </c>
      <c r="C36" s="9">
        <v>125</v>
      </c>
      <c r="D36" s="10">
        <v>28</v>
      </c>
      <c r="E36" s="10"/>
      <c r="F36" s="9">
        <f t="shared" si="0"/>
        <v>0</v>
      </c>
      <c r="G36" s="11">
        <f t="shared" si="1"/>
        <v>28</v>
      </c>
      <c r="H36" s="12">
        <v>2050.54</v>
      </c>
      <c r="I36" s="13">
        <f t="shared" si="2"/>
        <v>57415.119999999995</v>
      </c>
      <c r="J36" s="14">
        <v>2175</v>
      </c>
      <c r="K36" s="13">
        <f t="shared" si="3"/>
        <v>60900</v>
      </c>
      <c r="L36" s="11">
        <f>G36-'10'!D36</f>
        <v>5</v>
      </c>
      <c r="M36" s="13">
        <f t="shared" si="4"/>
        <v>10875</v>
      </c>
    </row>
    <row r="37" spans="1:13">
      <c r="A37" s="7" t="s">
        <v>38</v>
      </c>
      <c r="B37" s="7" t="s">
        <v>17</v>
      </c>
      <c r="C37" s="9">
        <v>20</v>
      </c>
      <c r="D37" s="10">
        <v>2</v>
      </c>
      <c r="E37" s="10"/>
      <c r="F37" s="9">
        <f t="shared" si="0"/>
        <v>0</v>
      </c>
      <c r="G37" s="11">
        <f t="shared" si="1"/>
        <v>2</v>
      </c>
      <c r="H37" s="12">
        <v>399.19</v>
      </c>
      <c r="I37" s="13">
        <f t="shared" si="2"/>
        <v>798.38</v>
      </c>
      <c r="J37" s="14">
        <v>420</v>
      </c>
      <c r="K37" s="13">
        <f t="shared" si="3"/>
        <v>840</v>
      </c>
      <c r="L37" s="11">
        <f>G37-'10'!D37</f>
        <v>0</v>
      </c>
      <c r="M37" s="13">
        <f t="shared" si="4"/>
        <v>0</v>
      </c>
    </row>
    <row r="38" spans="1:13">
      <c r="A38" s="7" t="s">
        <v>38</v>
      </c>
      <c r="B38" s="7" t="s">
        <v>18</v>
      </c>
      <c r="C38" s="9">
        <v>20</v>
      </c>
      <c r="D38" s="10"/>
      <c r="E38" s="10"/>
      <c r="F38" s="9">
        <f t="shared" si="0"/>
        <v>0</v>
      </c>
      <c r="G38" s="11">
        <f t="shared" si="1"/>
        <v>0</v>
      </c>
      <c r="H38" s="12">
        <v>399.19</v>
      </c>
      <c r="I38" s="13">
        <f t="shared" si="2"/>
        <v>0</v>
      </c>
      <c r="J38" s="14">
        <v>420</v>
      </c>
      <c r="K38" s="13">
        <f t="shared" si="3"/>
        <v>0</v>
      </c>
      <c r="L38" s="11">
        <f>G38-'10'!D38</f>
        <v>0</v>
      </c>
      <c r="M38" s="13">
        <f t="shared" si="4"/>
        <v>0</v>
      </c>
    </row>
    <row r="39" spans="1:13">
      <c r="A39" s="7" t="s">
        <v>38</v>
      </c>
      <c r="B39" s="7" t="s">
        <v>21</v>
      </c>
      <c r="C39" s="9">
        <v>20</v>
      </c>
      <c r="D39" s="10"/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f>G39-'10'!D39</f>
        <v>0</v>
      </c>
      <c r="M39" s="13">
        <f t="shared" si="4"/>
        <v>0</v>
      </c>
    </row>
    <row r="40" spans="1:13">
      <c r="A40" s="7" t="s">
        <v>39</v>
      </c>
      <c r="B40" s="7" t="s">
        <v>35</v>
      </c>
      <c r="C40" s="9">
        <v>9</v>
      </c>
      <c r="D40" s="10">
        <v>70</v>
      </c>
      <c r="E40" s="10"/>
      <c r="F40" s="9">
        <f t="shared" si="0"/>
        <v>0</v>
      </c>
      <c r="G40" s="11">
        <f t="shared" si="1"/>
        <v>70</v>
      </c>
      <c r="H40" s="12">
        <v>174.19</v>
      </c>
      <c r="I40" s="13">
        <f t="shared" si="2"/>
        <v>12193.3</v>
      </c>
      <c r="J40" s="14">
        <v>185</v>
      </c>
      <c r="K40" s="13">
        <f t="shared" si="3"/>
        <v>12950</v>
      </c>
      <c r="L40" s="11">
        <f>G40-'10'!D40</f>
        <v>0</v>
      </c>
      <c r="M40" s="13">
        <f t="shared" si="4"/>
        <v>0</v>
      </c>
    </row>
    <row r="41" spans="1:13">
      <c r="A41" s="7" t="s">
        <v>40</v>
      </c>
      <c r="B41" s="7" t="s">
        <v>13</v>
      </c>
      <c r="C41" s="9">
        <v>35</v>
      </c>
      <c r="D41" s="10">
        <v>21</v>
      </c>
      <c r="E41" s="10"/>
      <c r="F41" s="9">
        <f t="shared" si="0"/>
        <v>0</v>
      </c>
      <c r="G41" s="11">
        <f t="shared" si="1"/>
        <v>21</v>
      </c>
      <c r="H41" s="12">
        <v>748.13</v>
      </c>
      <c r="I41" s="13">
        <f t="shared" si="2"/>
        <v>15710.73</v>
      </c>
      <c r="J41" s="14">
        <v>795</v>
      </c>
      <c r="K41" s="13">
        <f t="shared" si="3"/>
        <v>16695</v>
      </c>
      <c r="L41" s="11">
        <f>G41-'10'!D41</f>
        <v>1</v>
      </c>
      <c r="M41" s="13">
        <f t="shared" si="4"/>
        <v>795</v>
      </c>
    </row>
    <row r="42" spans="1:13">
      <c r="A42" s="7" t="s">
        <v>41</v>
      </c>
      <c r="B42" s="7" t="s">
        <v>17</v>
      </c>
      <c r="C42" s="9">
        <v>40</v>
      </c>
      <c r="D42" s="10">
        <v>1</v>
      </c>
      <c r="E42" s="10">
        <v>54</v>
      </c>
      <c r="F42" s="9">
        <f t="shared" si="0"/>
        <v>45514.44</v>
      </c>
      <c r="G42" s="11">
        <f t="shared" si="1"/>
        <v>55</v>
      </c>
      <c r="H42" s="12">
        <v>842.86</v>
      </c>
      <c r="I42" s="13">
        <f t="shared" si="2"/>
        <v>842.86</v>
      </c>
      <c r="J42" s="14">
        <v>900</v>
      </c>
      <c r="K42" s="13">
        <f t="shared" si="3"/>
        <v>900</v>
      </c>
      <c r="L42" s="11">
        <f>G42-'10'!D42</f>
        <v>4</v>
      </c>
      <c r="M42" s="13">
        <f t="shared" si="4"/>
        <v>3600</v>
      </c>
    </row>
    <row r="43" spans="1:13">
      <c r="A43" s="7" t="s">
        <v>41</v>
      </c>
      <c r="B43" s="7" t="s">
        <v>18</v>
      </c>
      <c r="C43" s="9">
        <v>40</v>
      </c>
      <c r="D43" s="10">
        <v>24</v>
      </c>
      <c r="E43" s="10"/>
      <c r="F43" s="9">
        <f t="shared" si="0"/>
        <v>0</v>
      </c>
      <c r="G43" s="11">
        <f t="shared" si="1"/>
        <v>24</v>
      </c>
      <c r="H43" s="12">
        <v>842.86</v>
      </c>
      <c r="I43" s="13">
        <f t="shared" si="2"/>
        <v>20228.64</v>
      </c>
      <c r="J43" s="14">
        <v>900</v>
      </c>
      <c r="K43" s="13">
        <f t="shared" si="3"/>
        <v>21600</v>
      </c>
      <c r="L43" s="11">
        <f>G43-'10'!D43</f>
        <v>4</v>
      </c>
      <c r="M43" s="13">
        <f t="shared" si="4"/>
        <v>3600</v>
      </c>
    </row>
    <row r="44" spans="1:13">
      <c r="A44" s="7" t="s">
        <v>41</v>
      </c>
      <c r="B44" s="7" t="s">
        <v>19</v>
      </c>
      <c r="C44" s="9">
        <v>40</v>
      </c>
      <c r="D44" s="10"/>
      <c r="E44" s="10"/>
      <c r="F44" s="9">
        <f t="shared" si="0"/>
        <v>0</v>
      </c>
      <c r="G44" s="11">
        <f t="shared" si="1"/>
        <v>0</v>
      </c>
      <c r="H44" s="12">
        <v>839.68</v>
      </c>
      <c r="I44" s="13">
        <f t="shared" si="2"/>
        <v>0</v>
      </c>
      <c r="J44" s="14">
        <v>900</v>
      </c>
      <c r="K44" s="13">
        <f t="shared" si="3"/>
        <v>0</v>
      </c>
      <c r="L44" s="11">
        <f>G44-'10'!D44</f>
        <v>0</v>
      </c>
      <c r="M44" s="13">
        <f t="shared" si="4"/>
        <v>0</v>
      </c>
    </row>
    <row r="45" spans="1:13">
      <c r="A45" s="7" t="s">
        <v>41</v>
      </c>
      <c r="B45" s="7" t="s">
        <v>20</v>
      </c>
      <c r="C45" s="9">
        <v>40</v>
      </c>
      <c r="D45" s="10"/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f>G45-'10'!D45</f>
        <v>0</v>
      </c>
      <c r="M45" s="13">
        <f t="shared" si="4"/>
        <v>0</v>
      </c>
    </row>
    <row r="46" spans="1:13">
      <c r="A46" s="7" t="s">
        <v>41</v>
      </c>
      <c r="B46" s="7" t="s">
        <v>21</v>
      </c>
      <c r="C46" s="9">
        <v>40</v>
      </c>
      <c r="D46" s="10"/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f>G46-'10'!D46</f>
        <v>0</v>
      </c>
      <c r="M46" s="13">
        <f t="shared" si="4"/>
        <v>0</v>
      </c>
    </row>
    <row r="47" spans="1:13">
      <c r="A47" s="7" t="s">
        <v>42</v>
      </c>
      <c r="B47" s="7" t="s">
        <v>29</v>
      </c>
      <c r="C47" s="9">
        <v>18</v>
      </c>
      <c r="D47" s="10">
        <v>33</v>
      </c>
      <c r="E47" s="10"/>
      <c r="F47" s="9">
        <f t="shared" si="0"/>
        <v>0</v>
      </c>
      <c r="G47" s="11">
        <f t="shared" si="1"/>
        <v>33</v>
      </c>
      <c r="H47" s="12">
        <v>375.68</v>
      </c>
      <c r="I47" s="13">
        <f t="shared" si="2"/>
        <v>12397.44</v>
      </c>
      <c r="J47" s="14">
        <v>400</v>
      </c>
      <c r="K47" s="13">
        <f t="shared" si="3"/>
        <v>13200</v>
      </c>
      <c r="L47" s="11">
        <f>G47-'10'!D47</f>
        <v>3</v>
      </c>
      <c r="M47" s="13">
        <f t="shared" si="4"/>
        <v>1200</v>
      </c>
    </row>
    <row r="48" spans="1:13">
      <c r="A48" s="7" t="s">
        <v>54</v>
      </c>
      <c r="B48" s="7" t="s">
        <v>44</v>
      </c>
      <c r="C48" s="9">
        <v>50</v>
      </c>
      <c r="D48" s="11">
        <v>32</v>
      </c>
      <c r="E48" s="11"/>
      <c r="F48" s="9">
        <f t="shared" si="0"/>
        <v>0</v>
      </c>
      <c r="G48" s="11">
        <f t="shared" si="1"/>
        <v>32</v>
      </c>
      <c r="H48" s="12">
        <v>670.32</v>
      </c>
      <c r="I48" s="13">
        <f t="shared" si="2"/>
        <v>21450.240000000002</v>
      </c>
      <c r="J48" s="14">
        <v>710</v>
      </c>
      <c r="K48" s="13">
        <f t="shared" si="3"/>
        <v>22720</v>
      </c>
      <c r="L48" s="11">
        <f>G48-'10'!D48</f>
        <v>10</v>
      </c>
      <c r="M48" s="13">
        <f t="shared" si="4"/>
        <v>7100</v>
      </c>
    </row>
    <row r="49" spans="1:13">
      <c r="A49" s="7" t="s">
        <v>43</v>
      </c>
      <c r="B49" s="7" t="s">
        <v>17</v>
      </c>
      <c r="C49" s="9">
        <v>50</v>
      </c>
      <c r="D49" s="10">
        <v>17</v>
      </c>
      <c r="E49" s="10">
        <v>165</v>
      </c>
      <c r="F49" s="9">
        <f t="shared" si="0"/>
        <v>109101.3</v>
      </c>
      <c r="G49" s="11">
        <f t="shared" si="1"/>
        <v>182</v>
      </c>
      <c r="H49" s="12">
        <v>661.22</v>
      </c>
      <c r="I49" s="13">
        <f t="shared" si="2"/>
        <v>11240.74</v>
      </c>
      <c r="J49" s="14">
        <v>710</v>
      </c>
      <c r="K49" s="13">
        <f t="shared" si="3"/>
        <v>12070</v>
      </c>
      <c r="L49" s="11">
        <f>G49-'10'!D49</f>
        <v>18</v>
      </c>
      <c r="M49" s="13">
        <f t="shared" si="4"/>
        <v>12780</v>
      </c>
    </row>
    <row r="50" spans="1:13">
      <c r="A50" s="7" t="s">
        <v>43</v>
      </c>
      <c r="B50" s="7" t="s">
        <v>18</v>
      </c>
      <c r="C50" s="9">
        <v>50</v>
      </c>
      <c r="D50" s="10">
        <v>37</v>
      </c>
      <c r="E50" s="10"/>
      <c r="F50" s="9">
        <f t="shared" si="0"/>
        <v>0</v>
      </c>
      <c r="G50" s="11">
        <f t="shared" si="1"/>
        <v>37</v>
      </c>
      <c r="H50" s="12">
        <v>661.22</v>
      </c>
      <c r="I50" s="13">
        <f t="shared" si="2"/>
        <v>24465.14</v>
      </c>
      <c r="J50" s="14">
        <v>710</v>
      </c>
      <c r="K50" s="13">
        <f t="shared" si="3"/>
        <v>26270</v>
      </c>
      <c r="L50" s="11">
        <f>G50-'10'!D50</f>
        <v>12</v>
      </c>
      <c r="M50" s="13">
        <f t="shared" si="4"/>
        <v>8520</v>
      </c>
    </row>
    <row r="51" spans="1:13">
      <c r="A51" s="7" t="s">
        <v>43</v>
      </c>
      <c r="B51" s="7" t="s">
        <v>19</v>
      </c>
      <c r="C51" s="9">
        <v>50</v>
      </c>
      <c r="D51" s="10"/>
      <c r="E51" s="10"/>
      <c r="F51" s="9">
        <f t="shared" si="0"/>
        <v>0</v>
      </c>
      <c r="G51" s="11">
        <f t="shared" si="1"/>
        <v>0</v>
      </c>
      <c r="H51" s="12">
        <v>661.22</v>
      </c>
      <c r="I51" s="13">
        <f t="shared" si="2"/>
        <v>0</v>
      </c>
      <c r="J51" s="14">
        <v>710</v>
      </c>
      <c r="K51" s="13">
        <f t="shared" si="3"/>
        <v>0</v>
      </c>
      <c r="L51" s="11">
        <f>G51-'10'!D51</f>
        <v>0</v>
      </c>
      <c r="M51" s="13">
        <f t="shared" si="4"/>
        <v>0</v>
      </c>
    </row>
    <row r="52" spans="1:13">
      <c r="A52" s="7" t="s">
        <v>43</v>
      </c>
      <c r="B52" s="7" t="s">
        <v>20</v>
      </c>
      <c r="C52" s="9">
        <v>50</v>
      </c>
      <c r="D52" s="10"/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f>G52-'10'!D52</f>
        <v>0</v>
      </c>
      <c r="M52" s="13">
        <f t="shared" si="4"/>
        <v>0</v>
      </c>
    </row>
    <row r="53" spans="1:13">
      <c r="A53" s="7" t="s">
        <v>43</v>
      </c>
      <c r="B53" s="7" t="s">
        <v>21</v>
      </c>
      <c r="C53" s="9">
        <v>50</v>
      </c>
      <c r="D53" s="10"/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f>G53-'10'!D53</f>
        <v>0</v>
      </c>
      <c r="M53" s="13">
        <f t="shared" si="4"/>
        <v>0</v>
      </c>
    </row>
    <row r="54" spans="1:13">
      <c r="A54" s="7" t="s">
        <v>43</v>
      </c>
      <c r="B54" s="7" t="s">
        <v>44</v>
      </c>
      <c r="C54" s="9">
        <v>85</v>
      </c>
      <c r="D54" s="10">
        <v>3</v>
      </c>
      <c r="E54" s="10"/>
      <c r="F54" s="9">
        <f t="shared" si="0"/>
        <v>0</v>
      </c>
      <c r="G54" s="11">
        <f t="shared" si="1"/>
        <v>3</v>
      </c>
      <c r="H54" s="12">
        <v>797.07</v>
      </c>
      <c r="I54" s="13">
        <f t="shared" si="2"/>
        <v>2391.21</v>
      </c>
      <c r="J54" s="14">
        <v>845</v>
      </c>
      <c r="K54" s="13">
        <f t="shared" si="3"/>
        <v>2535</v>
      </c>
      <c r="L54" s="11">
        <f>G54-'10'!D54</f>
        <v>0</v>
      </c>
      <c r="M54" s="13">
        <f t="shared" si="4"/>
        <v>0</v>
      </c>
    </row>
    <row r="55" spans="1:13">
      <c r="A55" s="7" t="s">
        <v>45</v>
      </c>
      <c r="B55" s="7" t="s">
        <v>35</v>
      </c>
      <c r="C55" s="9">
        <v>18</v>
      </c>
      <c r="D55" s="10">
        <v>1097</v>
      </c>
      <c r="E55" s="10">
        <v>96</v>
      </c>
      <c r="F55" s="9">
        <f t="shared" si="0"/>
        <v>15433.920000000002</v>
      </c>
      <c r="G55" s="11">
        <f t="shared" si="1"/>
        <v>1193</v>
      </c>
      <c r="H55" s="12">
        <v>160.77000000000001</v>
      </c>
      <c r="I55" s="13">
        <f t="shared" si="2"/>
        <v>176364.69</v>
      </c>
      <c r="J55" s="14">
        <v>175</v>
      </c>
      <c r="K55" s="13">
        <f t="shared" si="3"/>
        <v>191975</v>
      </c>
      <c r="L55" s="11">
        <f>G55-'10'!D55</f>
        <v>57</v>
      </c>
      <c r="M55" s="13">
        <f t="shared" si="4"/>
        <v>9975</v>
      </c>
    </row>
    <row r="56" spans="1:13">
      <c r="A56" s="7" t="s">
        <v>46</v>
      </c>
      <c r="B56" s="7" t="s">
        <v>13</v>
      </c>
      <c r="C56" s="9">
        <v>70</v>
      </c>
      <c r="D56" s="10">
        <v>20</v>
      </c>
      <c r="E56" s="10"/>
      <c r="F56" s="9">
        <f t="shared" si="0"/>
        <v>0</v>
      </c>
      <c r="G56" s="11">
        <f t="shared" si="1"/>
        <v>20</v>
      </c>
      <c r="H56" s="12">
        <v>744.99</v>
      </c>
      <c r="I56" s="13">
        <f t="shared" si="2"/>
        <v>14899.8</v>
      </c>
      <c r="J56" s="14">
        <v>790</v>
      </c>
      <c r="K56" s="13">
        <f t="shared" si="3"/>
        <v>15800</v>
      </c>
      <c r="L56" s="11">
        <f>G56-'10'!D56</f>
        <v>1</v>
      </c>
      <c r="M56" s="13">
        <f t="shared" si="4"/>
        <v>790</v>
      </c>
    </row>
    <row r="57" spans="1:13">
      <c r="A57" s="7" t="s">
        <v>47</v>
      </c>
      <c r="B57" s="7" t="s">
        <v>29</v>
      </c>
      <c r="C57" s="9">
        <v>30</v>
      </c>
      <c r="D57" s="10"/>
      <c r="E57" s="10"/>
      <c r="F57" s="9">
        <f t="shared" si="0"/>
        <v>0</v>
      </c>
      <c r="G57" s="11">
        <f t="shared" si="1"/>
        <v>0</v>
      </c>
      <c r="H57" s="12">
        <v>316.14999999999998</v>
      </c>
      <c r="I57" s="13">
        <f t="shared" si="2"/>
        <v>0</v>
      </c>
      <c r="J57" s="14">
        <v>336</v>
      </c>
      <c r="K57" s="13">
        <f t="shared" si="3"/>
        <v>0</v>
      </c>
      <c r="L57" s="11">
        <f>G57-'10'!D57</f>
        <v>0</v>
      </c>
      <c r="M57" s="13">
        <f t="shared" si="4"/>
        <v>0</v>
      </c>
    </row>
    <row r="58" spans="1:13">
      <c r="A58" s="7" t="s">
        <v>48</v>
      </c>
      <c r="B58" s="7" t="s">
        <v>13</v>
      </c>
      <c r="C58" s="9">
        <v>95</v>
      </c>
      <c r="D58" s="10">
        <v>5</v>
      </c>
      <c r="E58" s="10"/>
      <c r="F58" s="9">
        <f t="shared" si="0"/>
        <v>0</v>
      </c>
      <c r="G58" s="11">
        <f t="shared" si="1"/>
        <v>5</v>
      </c>
      <c r="H58" s="12">
        <v>1042.9000000000001</v>
      </c>
      <c r="I58" s="13">
        <f t="shared" si="2"/>
        <v>5214.5</v>
      </c>
      <c r="J58" s="14">
        <v>1105</v>
      </c>
      <c r="K58" s="13">
        <f t="shared" si="3"/>
        <v>5525</v>
      </c>
      <c r="L58" s="11">
        <f>G58-'10'!D58</f>
        <v>3</v>
      </c>
      <c r="M58" s="13">
        <f t="shared" si="4"/>
        <v>3315</v>
      </c>
    </row>
    <row r="59" spans="1:13">
      <c r="A59" s="7" t="s">
        <v>49</v>
      </c>
      <c r="B59" s="7" t="s">
        <v>35</v>
      </c>
      <c r="C59" s="9">
        <v>28</v>
      </c>
      <c r="D59" s="10">
        <v>28</v>
      </c>
      <c r="E59" s="10"/>
      <c r="F59" s="9">
        <f t="shared" si="0"/>
        <v>0</v>
      </c>
      <c r="G59" s="11">
        <f t="shared" si="1"/>
        <v>28</v>
      </c>
      <c r="H59" s="12">
        <v>165.06</v>
      </c>
      <c r="I59" s="13">
        <f t="shared" si="2"/>
        <v>4621.68</v>
      </c>
      <c r="J59" s="14">
        <v>180</v>
      </c>
      <c r="K59" s="13">
        <f t="shared" si="3"/>
        <v>5040</v>
      </c>
      <c r="L59" s="11">
        <f>G59-'10'!D59</f>
        <v>4</v>
      </c>
      <c r="M59" s="13">
        <f t="shared" si="4"/>
        <v>720</v>
      </c>
    </row>
    <row r="60" spans="1:13">
      <c r="A60" s="7" t="s">
        <v>50</v>
      </c>
      <c r="B60" s="7" t="s">
        <v>17</v>
      </c>
      <c r="C60" s="9">
        <v>70</v>
      </c>
      <c r="D60" s="10"/>
      <c r="E60" s="10"/>
      <c r="F60" s="9">
        <f t="shared" si="0"/>
        <v>0</v>
      </c>
      <c r="G60" s="11">
        <f t="shared" si="1"/>
        <v>0</v>
      </c>
      <c r="H60" s="12">
        <v>721.25</v>
      </c>
      <c r="I60" s="13">
        <f t="shared" si="2"/>
        <v>0</v>
      </c>
      <c r="J60" s="14">
        <v>771</v>
      </c>
      <c r="K60" s="13">
        <f t="shared" si="3"/>
        <v>0</v>
      </c>
      <c r="L60" s="11">
        <f>G60-'10'!D60</f>
        <v>0</v>
      </c>
      <c r="M60" s="13">
        <f t="shared" si="4"/>
        <v>0</v>
      </c>
    </row>
    <row r="61" spans="1:13">
      <c r="A61" s="7" t="s">
        <v>50</v>
      </c>
      <c r="B61" s="7" t="s">
        <v>18</v>
      </c>
      <c r="C61" s="9">
        <v>70</v>
      </c>
      <c r="D61" s="10"/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f>G61-'10'!D61</f>
        <v>0</v>
      </c>
      <c r="M61" s="13">
        <f t="shared" si="4"/>
        <v>0</v>
      </c>
    </row>
    <row r="62" spans="1:13">
      <c r="A62" s="7" t="s">
        <v>51</v>
      </c>
      <c r="B62" s="7" t="s">
        <v>17</v>
      </c>
      <c r="C62" s="9">
        <v>100</v>
      </c>
      <c r="D62" s="10">
        <v>62</v>
      </c>
      <c r="E62" s="10">
        <v>168</v>
      </c>
      <c r="F62" s="9">
        <f t="shared" si="0"/>
        <v>132869.51999999999</v>
      </c>
      <c r="G62" s="11">
        <f t="shared" si="1"/>
        <v>230</v>
      </c>
      <c r="H62" s="12">
        <v>790.89</v>
      </c>
      <c r="I62" s="13">
        <f t="shared" si="2"/>
        <v>49035.18</v>
      </c>
      <c r="J62" s="14">
        <v>845</v>
      </c>
      <c r="K62" s="13">
        <f t="shared" si="3"/>
        <v>52390</v>
      </c>
      <c r="L62" s="11">
        <f>G62-'10'!D62</f>
        <v>53</v>
      </c>
      <c r="M62" s="13">
        <f t="shared" si="4"/>
        <v>44785</v>
      </c>
    </row>
    <row r="63" spans="1:13">
      <c r="A63" s="7" t="s">
        <v>51</v>
      </c>
      <c r="B63" s="7" t="s">
        <v>18</v>
      </c>
      <c r="C63" s="9">
        <v>100</v>
      </c>
      <c r="D63" s="10">
        <v>78</v>
      </c>
      <c r="E63" s="10"/>
      <c r="F63" s="9">
        <f t="shared" si="0"/>
        <v>0</v>
      </c>
      <c r="G63" s="11">
        <f t="shared" si="1"/>
        <v>78</v>
      </c>
      <c r="H63" s="12">
        <v>790.89</v>
      </c>
      <c r="I63" s="13">
        <f t="shared" si="2"/>
        <v>61689.42</v>
      </c>
      <c r="J63" s="14">
        <v>845</v>
      </c>
      <c r="K63" s="13">
        <f t="shared" si="3"/>
        <v>65910</v>
      </c>
      <c r="L63" s="11">
        <f>G63-'10'!D63</f>
        <v>36</v>
      </c>
      <c r="M63" s="13">
        <f t="shared" si="4"/>
        <v>30420</v>
      </c>
    </row>
    <row r="64" spans="1:13">
      <c r="A64" s="7" t="s">
        <v>51</v>
      </c>
      <c r="B64" s="7" t="s">
        <v>19</v>
      </c>
      <c r="C64" s="9">
        <v>100</v>
      </c>
      <c r="D64" s="10"/>
      <c r="E64" s="10"/>
      <c r="F64" s="9">
        <f t="shared" si="0"/>
        <v>0</v>
      </c>
      <c r="G64" s="11">
        <f t="shared" si="1"/>
        <v>0</v>
      </c>
      <c r="H64" s="12">
        <v>790.89</v>
      </c>
      <c r="I64" s="13">
        <f t="shared" si="2"/>
        <v>0</v>
      </c>
      <c r="J64" s="14">
        <v>845</v>
      </c>
      <c r="K64" s="13">
        <f t="shared" si="3"/>
        <v>0</v>
      </c>
      <c r="L64" s="11">
        <f>G64-'10'!D64</f>
        <v>0</v>
      </c>
      <c r="M64" s="13">
        <f t="shared" si="4"/>
        <v>0</v>
      </c>
    </row>
    <row r="65" spans="1:13">
      <c r="A65" s="7" t="s">
        <v>51</v>
      </c>
      <c r="B65" s="7" t="s">
        <v>20</v>
      </c>
      <c r="C65" s="9">
        <v>100</v>
      </c>
      <c r="D65" s="10"/>
      <c r="E65" s="11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f>G65-'10'!D65</f>
        <v>0</v>
      </c>
      <c r="M65" s="13">
        <f t="shared" si="4"/>
        <v>0</v>
      </c>
    </row>
    <row r="66" spans="1:13">
      <c r="A66" s="7" t="s">
        <v>51</v>
      </c>
      <c r="B66" s="7" t="s">
        <v>21</v>
      </c>
      <c r="C66" s="9">
        <v>100</v>
      </c>
      <c r="D66" s="10"/>
      <c r="E66" s="11"/>
      <c r="F66" s="15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f>G66-'10'!D66</f>
        <v>0</v>
      </c>
      <c r="M66" s="13">
        <f t="shared" si="4"/>
        <v>0</v>
      </c>
    </row>
    <row r="67" spans="1:13">
      <c r="A67" s="35" t="s">
        <v>52</v>
      </c>
      <c r="B67" s="36"/>
      <c r="C67" s="37"/>
      <c r="D67" s="16">
        <f>SUM(D2:D66)</f>
        <v>3741</v>
      </c>
      <c r="E67" s="17">
        <f>SUM(E2:E66)</f>
        <v>1213</v>
      </c>
      <c r="F67" s="18">
        <f>SUM(F2:F66)</f>
        <v>812358.96000000008</v>
      </c>
      <c r="G67" s="17">
        <f>SUM(G2:G66)</f>
        <v>4954</v>
      </c>
      <c r="H67" s="19"/>
      <c r="I67" s="20">
        <f>SUM(I2:I66)</f>
        <v>1239968.6399999997</v>
      </c>
      <c r="J67" s="21">
        <f>SUM(J2:J66)</f>
        <v>39088</v>
      </c>
      <c r="K67" s="22">
        <f>SUM(K2:K66)</f>
        <v>1329158</v>
      </c>
      <c r="L67" s="23">
        <f>SUM(L2:L66)</f>
        <v>465</v>
      </c>
      <c r="M67" s="24">
        <f>SUM(M2:M66)</f>
        <v>266222</v>
      </c>
    </row>
    <row r="70" spans="1:13">
      <c r="F70" s="31"/>
    </row>
    <row r="73" spans="1:13">
      <c r="I73" s="33"/>
      <c r="J73" s="32"/>
      <c r="K73" s="33"/>
    </row>
    <row r="74" spans="1:13">
      <c r="I74" s="33"/>
      <c r="J74" s="32"/>
      <c r="K74" s="33"/>
    </row>
    <row r="75" spans="1:13">
      <c r="I75" s="33"/>
      <c r="J75" s="29"/>
      <c r="K75" s="30"/>
    </row>
    <row r="76" spans="1:13">
      <c r="D76" s="25" t="s">
        <v>53</v>
      </c>
      <c r="I76" s="33"/>
      <c r="J76" s="34"/>
      <c r="K76" s="34"/>
    </row>
    <row r="77" spans="1:13">
      <c r="I77" s="33"/>
      <c r="J77" s="32"/>
      <c r="K77" s="33"/>
    </row>
    <row r="78" spans="1:13">
      <c r="F78" s="26"/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</row>
  </sheetData>
  <mergeCells count="1">
    <mergeCell ref="A67:C6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80"/>
  <sheetViews>
    <sheetView topLeftCell="A44" workbookViewId="0">
      <selection activeCell="O64" sqref="O64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415</v>
      </c>
      <c r="E2" s="11"/>
      <c r="F2" s="9">
        <f>E2*H2</f>
        <v>0</v>
      </c>
      <c r="G2" s="11">
        <f>D2+E2</f>
        <v>415</v>
      </c>
      <c r="H2" s="12">
        <v>308.13</v>
      </c>
      <c r="I2" s="13">
        <f>H2*D2</f>
        <v>127873.95</v>
      </c>
      <c r="J2" s="14">
        <v>326</v>
      </c>
      <c r="K2" s="13">
        <f>J2*D2</f>
        <v>135290</v>
      </c>
      <c r="L2" s="11">
        <f>G2-'11'!D2</f>
        <v>17</v>
      </c>
      <c r="M2" s="13">
        <f>L2*J2</f>
        <v>5542</v>
      </c>
    </row>
    <row r="3" spans="1:13">
      <c r="A3" s="7" t="s">
        <v>12</v>
      </c>
      <c r="B3" s="8" t="s">
        <v>14</v>
      </c>
      <c r="C3" s="9">
        <v>9</v>
      </c>
      <c r="D3" s="10">
        <v>95</v>
      </c>
      <c r="E3" s="11"/>
      <c r="F3" s="9">
        <f t="shared" ref="F3:F66" si="0">E3*H3</f>
        <v>0</v>
      </c>
      <c r="G3" s="11">
        <f t="shared" ref="G3:G66" si="1">D3+E3</f>
        <v>95</v>
      </c>
      <c r="H3" s="12">
        <v>308.19</v>
      </c>
      <c r="I3" s="13">
        <f t="shared" ref="I3:I66" si="2">H3*D3</f>
        <v>29278.05</v>
      </c>
      <c r="J3" s="14">
        <v>326</v>
      </c>
      <c r="K3" s="13">
        <f t="shared" ref="K3:K66" si="3">J3*D3</f>
        <v>30970</v>
      </c>
      <c r="L3" s="11">
        <f>G3-'11'!D3</f>
        <v>3</v>
      </c>
      <c r="M3" s="13">
        <f t="shared" ref="M3:M66" si="4">L3*J3</f>
        <v>978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f>G4-'11'!D4</f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255</v>
      </c>
      <c r="E5" s="11"/>
      <c r="F5" s="9">
        <f t="shared" si="0"/>
        <v>0</v>
      </c>
      <c r="G5" s="11">
        <f t="shared" si="1"/>
        <v>255</v>
      </c>
      <c r="H5" s="12">
        <v>174.77</v>
      </c>
      <c r="I5" s="13">
        <f t="shared" si="2"/>
        <v>44566.350000000006</v>
      </c>
      <c r="J5" s="14">
        <v>192</v>
      </c>
      <c r="K5" s="13">
        <f t="shared" si="3"/>
        <v>48960</v>
      </c>
      <c r="L5" s="11">
        <f>G5-'11'!D5</f>
        <v>9</v>
      </c>
      <c r="M5" s="13">
        <f t="shared" si="4"/>
        <v>1728</v>
      </c>
    </row>
    <row r="6" spans="1:13">
      <c r="A6" s="7" t="s">
        <v>16</v>
      </c>
      <c r="B6" s="8" t="s">
        <v>18</v>
      </c>
      <c r="C6" s="9">
        <v>10</v>
      </c>
      <c r="D6" s="10">
        <v>217</v>
      </c>
      <c r="E6" s="11"/>
      <c r="F6" s="9">
        <f t="shared" si="0"/>
        <v>0</v>
      </c>
      <c r="G6" s="11">
        <f t="shared" si="1"/>
        <v>217</v>
      </c>
      <c r="H6" s="12">
        <v>174.77</v>
      </c>
      <c r="I6" s="13">
        <f t="shared" si="2"/>
        <v>37925.090000000004</v>
      </c>
      <c r="J6" s="14">
        <v>192</v>
      </c>
      <c r="K6" s="13">
        <f t="shared" si="3"/>
        <v>41664</v>
      </c>
      <c r="L6" s="11">
        <f>G6-'11'!D6</f>
        <v>3</v>
      </c>
      <c r="M6" s="13">
        <f t="shared" si="4"/>
        <v>576</v>
      </c>
    </row>
    <row r="7" spans="1:13">
      <c r="A7" s="7" t="s">
        <v>16</v>
      </c>
      <c r="B7" s="8" t="s">
        <v>19</v>
      </c>
      <c r="C7" s="9">
        <v>10</v>
      </c>
      <c r="D7" s="10">
        <v>43</v>
      </c>
      <c r="E7" s="11"/>
      <c r="F7" s="9">
        <f t="shared" si="0"/>
        <v>0</v>
      </c>
      <c r="G7" s="11">
        <f t="shared" si="1"/>
        <v>43</v>
      </c>
      <c r="H7" s="12">
        <v>174.77</v>
      </c>
      <c r="I7" s="13">
        <f t="shared" si="2"/>
        <v>7515.1100000000006</v>
      </c>
      <c r="J7" s="14">
        <v>192</v>
      </c>
      <c r="K7" s="13">
        <f t="shared" si="3"/>
        <v>8256</v>
      </c>
      <c r="L7" s="11">
        <f>G7-'11'!D7</f>
        <v>0</v>
      </c>
      <c r="M7" s="13">
        <f t="shared" si="4"/>
        <v>0</v>
      </c>
    </row>
    <row r="8" spans="1:13">
      <c r="A8" s="7" t="s">
        <v>16</v>
      </c>
      <c r="B8" s="8" t="s">
        <v>20</v>
      </c>
      <c r="C8" s="9">
        <v>10</v>
      </c>
      <c r="D8" s="10">
        <v>49</v>
      </c>
      <c r="E8" s="11"/>
      <c r="F8" s="9">
        <f t="shared" si="0"/>
        <v>0</v>
      </c>
      <c r="G8" s="11">
        <f t="shared" si="1"/>
        <v>49</v>
      </c>
      <c r="H8" s="12">
        <v>174.77</v>
      </c>
      <c r="I8" s="13">
        <f t="shared" si="2"/>
        <v>8563.7300000000014</v>
      </c>
      <c r="J8" s="14">
        <v>192</v>
      </c>
      <c r="K8" s="13">
        <f t="shared" si="3"/>
        <v>9408</v>
      </c>
      <c r="L8" s="11">
        <f>G8-'11'!D8</f>
        <v>4</v>
      </c>
      <c r="M8" s="13">
        <f t="shared" si="4"/>
        <v>768</v>
      </c>
    </row>
    <row r="9" spans="1:13">
      <c r="A9" s="7" t="s">
        <v>16</v>
      </c>
      <c r="B9" s="8" t="s">
        <v>21</v>
      </c>
      <c r="C9" s="9">
        <v>10</v>
      </c>
      <c r="D9" s="10">
        <v>154</v>
      </c>
      <c r="E9" s="11"/>
      <c r="F9" s="9">
        <f t="shared" si="0"/>
        <v>0</v>
      </c>
      <c r="G9" s="11">
        <f t="shared" si="1"/>
        <v>154</v>
      </c>
      <c r="H9" s="12">
        <v>174.77</v>
      </c>
      <c r="I9" s="13">
        <f t="shared" si="2"/>
        <v>26914.58</v>
      </c>
      <c r="J9" s="14">
        <v>192</v>
      </c>
      <c r="K9" s="13">
        <f t="shared" si="3"/>
        <v>29568</v>
      </c>
      <c r="L9" s="11">
        <f>G9-'11'!D9</f>
        <v>5</v>
      </c>
      <c r="M9" s="13">
        <f t="shared" si="4"/>
        <v>960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f>G10-'11'!D10</f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26</v>
      </c>
      <c r="E11" s="11"/>
      <c r="F11" s="9">
        <f t="shared" si="0"/>
        <v>0</v>
      </c>
      <c r="G11" s="11">
        <f t="shared" si="1"/>
        <v>26</v>
      </c>
      <c r="H11" s="12">
        <v>470.8</v>
      </c>
      <c r="I11" s="13">
        <f t="shared" si="2"/>
        <v>12240.800000000001</v>
      </c>
      <c r="J11" s="14">
        <v>505</v>
      </c>
      <c r="K11" s="13">
        <f t="shared" si="3"/>
        <v>13130</v>
      </c>
      <c r="L11" s="11">
        <f>G11-'11'!D11</f>
        <v>4</v>
      </c>
      <c r="M11" s="13">
        <f t="shared" si="4"/>
        <v>2020</v>
      </c>
    </row>
    <row r="12" spans="1:13">
      <c r="A12" s="7" t="s">
        <v>22</v>
      </c>
      <c r="B12" s="8" t="s">
        <v>17</v>
      </c>
      <c r="C12" s="9">
        <v>20</v>
      </c>
      <c r="D12" s="10">
        <v>433</v>
      </c>
      <c r="E12" s="11"/>
      <c r="F12" s="9">
        <f>E12*H12</f>
        <v>0</v>
      </c>
      <c r="G12" s="11">
        <f t="shared" si="1"/>
        <v>433</v>
      </c>
      <c r="H12" s="12">
        <v>475.77</v>
      </c>
      <c r="I12" s="13">
        <f t="shared" si="2"/>
        <v>206008.41</v>
      </c>
      <c r="J12" s="14">
        <v>505</v>
      </c>
      <c r="K12" s="13">
        <f t="shared" si="3"/>
        <v>218665</v>
      </c>
      <c r="L12" s="11">
        <f>G12-'11'!D12</f>
        <v>83</v>
      </c>
      <c r="M12" s="13">
        <f t="shared" si="4"/>
        <v>41915</v>
      </c>
    </row>
    <row r="13" spans="1:13">
      <c r="A13" s="7" t="s">
        <v>22</v>
      </c>
      <c r="B13" s="8" t="s">
        <v>18</v>
      </c>
      <c r="C13" s="9">
        <v>20</v>
      </c>
      <c r="D13" s="10">
        <v>262</v>
      </c>
      <c r="E13" s="11"/>
      <c r="F13" s="9">
        <f t="shared" si="0"/>
        <v>0</v>
      </c>
      <c r="G13" s="11">
        <f t="shared" si="1"/>
        <v>262</v>
      </c>
      <c r="H13" s="12">
        <v>475.77</v>
      </c>
      <c r="I13" s="13">
        <f t="shared" si="2"/>
        <v>124651.73999999999</v>
      </c>
      <c r="J13" s="14">
        <v>505</v>
      </c>
      <c r="K13" s="13">
        <f t="shared" si="3"/>
        <v>132310</v>
      </c>
      <c r="L13" s="11">
        <f>G13-'11'!D13</f>
        <v>35</v>
      </c>
      <c r="M13" s="13">
        <f t="shared" si="4"/>
        <v>17675</v>
      </c>
    </row>
    <row r="14" spans="1:13">
      <c r="A14" s="7" t="s">
        <v>22</v>
      </c>
      <c r="B14" s="8" t="s">
        <v>19</v>
      </c>
      <c r="C14" s="9">
        <v>20</v>
      </c>
      <c r="D14" s="10">
        <v>14</v>
      </c>
      <c r="E14" s="11"/>
      <c r="F14" s="9">
        <f t="shared" si="0"/>
        <v>0</v>
      </c>
      <c r="G14" s="11">
        <f t="shared" si="1"/>
        <v>14</v>
      </c>
      <c r="H14" s="12">
        <v>470.8</v>
      </c>
      <c r="I14" s="13">
        <f t="shared" si="2"/>
        <v>6591.2</v>
      </c>
      <c r="J14" s="14">
        <v>505</v>
      </c>
      <c r="K14" s="13">
        <f t="shared" si="3"/>
        <v>7070</v>
      </c>
      <c r="L14" s="11">
        <f>G14-'11'!D14</f>
        <v>10</v>
      </c>
      <c r="M14" s="13">
        <f t="shared" si="4"/>
        <v>5050</v>
      </c>
    </row>
    <row r="15" spans="1:13">
      <c r="A15" s="7" t="s">
        <v>22</v>
      </c>
      <c r="B15" s="8" t="s">
        <v>20</v>
      </c>
      <c r="C15" s="9">
        <v>20</v>
      </c>
      <c r="D15" s="10">
        <v>31</v>
      </c>
      <c r="E15" s="11"/>
      <c r="F15" s="9">
        <f t="shared" si="0"/>
        <v>0</v>
      </c>
      <c r="G15" s="11">
        <f t="shared" si="1"/>
        <v>31</v>
      </c>
      <c r="H15" s="12">
        <v>470.8</v>
      </c>
      <c r="I15" s="13">
        <f t="shared" si="2"/>
        <v>14594.800000000001</v>
      </c>
      <c r="J15" s="14">
        <v>505</v>
      </c>
      <c r="K15" s="13">
        <f t="shared" si="3"/>
        <v>15655</v>
      </c>
      <c r="L15" s="11">
        <f>G15-'11'!D15</f>
        <v>9</v>
      </c>
      <c r="M15" s="13">
        <f t="shared" si="4"/>
        <v>4545</v>
      </c>
    </row>
    <row r="16" spans="1:13">
      <c r="A16" s="7" t="s">
        <v>22</v>
      </c>
      <c r="B16" s="8" t="s">
        <v>21</v>
      </c>
      <c r="C16" s="9">
        <v>20</v>
      </c>
      <c r="D16" s="10"/>
      <c r="E16" s="11"/>
      <c r="F16" s="9">
        <f t="shared" si="0"/>
        <v>0</v>
      </c>
      <c r="G16" s="11">
        <f t="shared" si="1"/>
        <v>0</v>
      </c>
      <c r="H16" s="12">
        <v>470.8</v>
      </c>
      <c r="I16" s="13">
        <f t="shared" si="2"/>
        <v>0</v>
      </c>
      <c r="J16" s="14">
        <v>505</v>
      </c>
      <c r="K16" s="13">
        <f t="shared" si="3"/>
        <v>0</v>
      </c>
      <c r="L16" s="11">
        <f>G16-'11'!D16</f>
        <v>0</v>
      </c>
      <c r="M16" s="13">
        <f t="shared" si="4"/>
        <v>0</v>
      </c>
    </row>
    <row r="17" spans="1:13">
      <c r="A17" s="7" t="s">
        <v>22</v>
      </c>
      <c r="B17" s="8" t="s">
        <v>29</v>
      </c>
      <c r="C17" s="9">
        <v>11</v>
      </c>
      <c r="D17" s="10">
        <v>66</v>
      </c>
      <c r="E17" s="11"/>
      <c r="F17" s="9">
        <f t="shared" si="0"/>
        <v>0</v>
      </c>
      <c r="G17" s="11">
        <f t="shared" si="1"/>
        <v>66</v>
      </c>
      <c r="H17" s="12">
        <v>235.59</v>
      </c>
      <c r="I17" s="13">
        <f t="shared" si="2"/>
        <v>15548.94</v>
      </c>
      <c r="J17" s="14">
        <v>250</v>
      </c>
      <c r="K17" s="13">
        <f t="shared" si="3"/>
        <v>16500</v>
      </c>
      <c r="L17" s="11">
        <f>G17-'11'!D17</f>
        <v>8</v>
      </c>
      <c r="M17" s="13">
        <f t="shared" si="4"/>
        <v>2000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f>G18-'11'!D18</f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/>
      <c r="E19" s="11"/>
      <c r="F19" s="9">
        <f t="shared" si="0"/>
        <v>0</v>
      </c>
      <c r="G19" s="11">
        <f t="shared" si="1"/>
        <v>0</v>
      </c>
      <c r="H19" s="12">
        <v>204</v>
      </c>
      <c r="I19" s="13">
        <f t="shared" si="2"/>
        <v>0</v>
      </c>
      <c r="J19" s="14">
        <v>230</v>
      </c>
      <c r="K19" s="13">
        <f t="shared" si="3"/>
        <v>0</v>
      </c>
      <c r="L19" s="11">
        <f>G19-'11'!D19</f>
        <v>0</v>
      </c>
      <c r="M19" s="13">
        <f t="shared" si="4"/>
        <v>0</v>
      </c>
    </row>
    <row r="20" spans="1:13">
      <c r="A20" s="7" t="s">
        <v>22</v>
      </c>
      <c r="B20" s="8" t="s">
        <v>25</v>
      </c>
      <c r="C20" s="9">
        <v>10</v>
      </c>
      <c r="D20" s="10"/>
      <c r="E20" s="11"/>
      <c r="F20" s="9">
        <f t="shared" si="0"/>
        <v>0</v>
      </c>
      <c r="G20" s="11">
        <f t="shared" si="1"/>
        <v>0</v>
      </c>
      <c r="H20" s="12">
        <v>204</v>
      </c>
      <c r="I20" s="13">
        <f>H20*D20</f>
        <v>0</v>
      </c>
      <c r="J20" s="14">
        <v>230</v>
      </c>
      <c r="K20" s="13">
        <f t="shared" si="3"/>
        <v>0</v>
      </c>
      <c r="L20" s="11">
        <f>G20-'11'!D20</f>
        <v>0</v>
      </c>
      <c r="M20" s="13">
        <f t="shared" si="4"/>
        <v>0</v>
      </c>
    </row>
    <row r="21" spans="1:13">
      <c r="A21" s="7" t="s">
        <v>22</v>
      </c>
      <c r="B21" s="8" t="s">
        <v>26</v>
      </c>
      <c r="C21" s="9">
        <v>10</v>
      </c>
      <c r="D21" s="10">
        <v>25</v>
      </c>
      <c r="E21" s="11"/>
      <c r="F21" s="9">
        <f t="shared" si="0"/>
        <v>0</v>
      </c>
      <c r="G21" s="11">
        <f t="shared" si="1"/>
        <v>25</v>
      </c>
      <c r="H21" s="12">
        <v>204</v>
      </c>
      <c r="I21" s="13">
        <f t="shared" si="2"/>
        <v>5100</v>
      </c>
      <c r="J21" s="14">
        <v>230</v>
      </c>
      <c r="K21" s="13">
        <f t="shared" si="3"/>
        <v>5750</v>
      </c>
      <c r="L21" s="11">
        <f>G21-'11'!D21</f>
        <v>0</v>
      </c>
      <c r="M21" s="13">
        <f t="shared" si="4"/>
        <v>0</v>
      </c>
    </row>
    <row r="22" spans="1:13">
      <c r="A22" s="7" t="s">
        <v>22</v>
      </c>
      <c r="B22" s="8" t="s">
        <v>13</v>
      </c>
      <c r="C22" s="9">
        <v>19</v>
      </c>
      <c r="D22" s="10"/>
      <c r="E22" s="11"/>
      <c r="F22" s="9">
        <f t="shared" si="0"/>
        <v>0</v>
      </c>
      <c r="G22" s="11">
        <f t="shared" si="1"/>
        <v>0</v>
      </c>
      <c r="H22" s="12">
        <v>474.46</v>
      </c>
      <c r="I22" s="13">
        <f t="shared" si="2"/>
        <v>0</v>
      </c>
      <c r="J22" s="14">
        <v>505</v>
      </c>
      <c r="K22" s="13">
        <f t="shared" si="3"/>
        <v>0</v>
      </c>
      <c r="L22" s="11">
        <f>G22-'11'!D22</f>
        <v>0</v>
      </c>
      <c r="M22" s="13">
        <f t="shared" si="4"/>
        <v>0</v>
      </c>
    </row>
    <row r="23" spans="1:13">
      <c r="A23" s="7" t="s">
        <v>22</v>
      </c>
      <c r="B23" s="8" t="s">
        <v>27</v>
      </c>
      <c r="C23" s="9">
        <v>24</v>
      </c>
      <c r="D23" s="10">
        <v>136</v>
      </c>
      <c r="E23" s="11"/>
      <c r="F23" s="9">
        <f t="shared" si="0"/>
        <v>0</v>
      </c>
      <c r="G23" s="11">
        <f t="shared" si="1"/>
        <v>136</v>
      </c>
      <c r="H23" s="12">
        <v>593.91999999999996</v>
      </c>
      <c r="I23" s="13">
        <f t="shared" si="2"/>
        <v>80773.119999999995</v>
      </c>
      <c r="J23" s="14">
        <v>630</v>
      </c>
      <c r="K23" s="13">
        <f t="shared" si="3"/>
        <v>85680</v>
      </c>
      <c r="L23" s="11">
        <f>G23-'11'!D23</f>
        <v>17</v>
      </c>
      <c r="M23" s="13">
        <f t="shared" si="4"/>
        <v>10710</v>
      </c>
    </row>
    <row r="24" spans="1:13">
      <c r="A24" s="7" t="s">
        <v>30</v>
      </c>
      <c r="B24" s="8" t="s">
        <v>17</v>
      </c>
      <c r="C24" s="9">
        <v>25</v>
      </c>
      <c r="D24" s="10">
        <v>75</v>
      </c>
      <c r="E24" s="10"/>
      <c r="F24" s="9">
        <f t="shared" si="0"/>
        <v>0</v>
      </c>
      <c r="G24" s="11">
        <f t="shared" si="1"/>
        <v>75</v>
      </c>
      <c r="H24" s="12">
        <v>453.3</v>
      </c>
      <c r="I24" s="13">
        <f t="shared" si="2"/>
        <v>33997.5</v>
      </c>
      <c r="J24" s="14">
        <v>493</v>
      </c>
      <c r="K24" s="13">
        <f t="shared" si="3"/>
        <v>36975</v>
      </c>
      <c r="L24" s="11">
        <f>G24-'11'!D24</f>
        <v>0</v>
      </c>
      <c r="M24" s="13">
        <f t="shared" si="4"/>
        <v>0</v>
      </c>
    </row>
    <row r="25" spans="1:13">
      <c r="A25" s="7" t="s">
        <v>30</v>
      </c>
      <c r="B25" s="8" t="s">
        <v>18</v>
      </c>
      <c r="C25" s="9">
        <v>25</v>
      </c>
      <c r="D25" s="10">
        <v>20</v>
      </c>
      <c r="E25" s="10"/>
      <c r="F25" s="9">
        <f t="shared" si="0"/>
        <v>0</v>
      </c>
      <c r="G25" s="11">
        <f t="shared" si="1"/>
        <v>20</v>
      </c>
      <c r="H25" s="12">
        <v>453.3</v>
      </c>
      <c r="I25" s="13">
        <f t="shared" si="2"/>
        <v>9066</v>
      </c>
      <c r="J25" s="14">
        <v>493</v>
      </c>
      <c r="K25" s="13">
        <f t="shared" si="3"/>
        <v>9860</v>
      </c>
      <c r="L25" s="11">
        <f>G25-'11'!D25</f>
        <v>0</v>
      </c>
      <c r="M25" s="13">
        <f t="shared" si="4"/>
        <v>0</v>
      </c>
    </row>
    <row r="26" spans="1:13">
      <c r="A26" s="7" t="s">
        <v>30</v>
      </c>
      <c r="B26" s="8" t="s">
        <v>20</v>
      </c>
      <c r="C26" s="9">
        <v>25</v>
      </c>
      <c r="D26" s="10"/>
      <c r="E26" s="10"/>
      <c r="F26" s="9">
        <f t="shared" si="0"/>
        <v>0</v>
      </c>
      <c r="G26" s="11">
        <f t="shared" si="1"/>
        <v>0</v>
      </c>
      <c r="H26" s="12">
        <v>453.3</v>
      </c>
      <c r="I26" s="13">
        <f t="shared" si="2"/>
        <v>0</v>
      </c>
      <c r="J26" s="14">
        <v>493</v>
      </c>
      <c r="K26" s="13">
        <f t="shared" si="3"/>
        <v>0</v>
      </c>
      <c r="L26" s="11">
        <f>G26-'11'!D26</f>
        <v>0</v>
      </c>
      <c r="M26" s="13">
        <f t="shared" si="4"/>
        <v>0</v>
      </c>
    </row>
    <row r="27" spans="1:13">
      <c r="A27" s="7" t="s">
        <v>30</v>
      </c>
      <c r="B27" s="8" t="s">
        <v>21</v>
      </c>
      <c r="C27" s="9">
        <v>25</v>
      </c>
      <c r="D27" s="10"/>
      <c r="E27" s="10"/>
      <c r="F27" s="9">
        <f t="shared" si="0"/>
        <v>0</v>
      </c>
      <c r="G27" s="11">
        <f t="shared" si="1"/>
        <v>0</v>
      </c>
      <c r="H27" s="12">
        <v>453.3</v>
      </c>
      <c r="I27" s="13">
        <f t="shared" si="2"/>
        <v>0</v>
      </c>
      <c r="J27" s="14">
        <v>493</v>
      </c>
      <c r="K27" s="13">
        <f t="shared" si="3"/>
        <v>0</v>
      </c>
      <c r="L27" s="11">
        <f>G27-'11'!D27</f>
        <v>0</v>
      </c>
      <c r="M27" s="13">
        <f t="shared" si="4"/>
        <v>0</v>
      </c>
    </row>
    <row r="28" spans="1:13">
      <c r="A28" s="7" t="s">
        <v>31</v>
      </c>
      <c r="B28" s="7" t="s">
        <v>17</v>
      </c>
      <c r="C28" s="9">
        <v>40</v>
      </c>
      <c r="D28" s="10"/>
      <c r="E28" s="10"/>
      <c r="F28" s="9">
        <f t="shared" si="0"/>
        <v>0</v>
      </c>
      <c r="G28" s="11">
        <f t="shared" si="1"/>
        <v>0</v>
      </c>
      <c r="H28" s="12">
        <v>821.36</v>
      </c>
      <c r="I28" s="13">
        <f t="shared" si="2"/>
        <v>0</v>
      </c>
      <c r="J28" s="14">
        <v>878</v>
      </c>
      <c r="K28" s="13">
        <f t="shared" si="3"/>
        <v>0</v>
      </c>
      <c r="L28" s="11">
        <f>G28-'11'!D28</f>
        <v>0</v>
      </c>
      <c r="M28" s="13">
        <f t="shared" si="4"/>
        <v>0</v>
      </c>
    </row>
    <row r="29" spans="1:13">
      <c r="A29" s="7" t="s">
        <v>31</v>
      </c>
      <c r="B29" s="7" t="s">
        <v>18</v>
      </c>
      <c r="C29" s="9">
        <v>40</v>
      </c>
      <c r="D29" s="10"/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f>G29-'11'!D29</f>
        <v>0</v>
      </c>
      <c r="M29" s="13">
        <f t="shared" si="4"/>
        <v>0</v>
      </c>
    </row>
    <row r="30" spans="1:13">
      <c r="A30" s="7" t="s">
        <v>31</v>
      </c>
      <c r="B30" s="7" t="s">
        <v>19</v>
      </c>
      <c r="C30" s="9">
        <v>40</v>
      </c>
      <c r="D30" s="10"/>
      <c r="E30" s="10"/>
      <c r="F30" s="9">
        <f t="shared" si="0"/>
        <v>0</v>
      </c>
      <c r="G30" s="11">
        <f t="shared" si="1"/>
        <v>0</v>
      </c>
      <c r="H30" s="12">
        <v>817.58</v>
      </c>
      <c r="I30" s="13">
        <f t="shared" si="2"/>
        <v>0</v>
      </c>
      <c r="J30" s="14">
        <v>878</v>
      </c>
      <c r="K30" s="13">
        <f t="shared" si="3"/>
        <v>0</v>
      </c>
      <c r="L30" s="11">
        <f>G30-'11'!D30</f>
        <v>0</v>
      </c>
      <c r="M30" s="13">
        <f t="shared" si="4"/>
        <v>0</v>
      </c>
    </row>
    <row r="31" spans="1:13">
      <c r="A31" s="7" t="s">
        <v>31</v>
      </c>
      <c r="B31" s="7" t="s">
        <v>20</v>
      </c>
      <c r="C31" s="9">
        <v>40</v>
      </c>
      <c r="D31" s="10"/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f>G31-'11'!D31</f>
        <v>0</v>
      </c>
      <c r="M31" s="13">
        <f t="shared" si="4"/>
        <v>0</v>
      </c>
    </row>
    <row r="32" spans="1:13">
      <c r="A32" s="7" t="s">
        <v>31</v>
      </c>
      <c r="B32" s="7" t="s">
        <v>21</v>
      </c>
      <c r="C32" s="9">
        <v>40</v>
      </c>
      <c r="D32" s="10"/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f>G32-'11'!D32</f>
        <v>0</v>
      </c>
      <c r="M32" s="13">
        <f t="shared" si="4"/>
        <v>0</v>
      </c>
    </row>
    <row r="33" spans="1:13">
      <c r="A33" s="7" t="s">
        <v>31</v>
      </c>
      <c r="B33" s="7" t="s">
        <v>32</v>
      </c>
      <c r="C33" s="9">
        <v>40</v>
      </c>
      <c r="D33" s="10"/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f>G33-'11'!D33</f>
        <v>0</v>
      </c>
      <c r="M33" s="13">
        <f t="shared" si="4"/>
        <v>0</v>
      </c>
    </row>
    <row r="34" spans="1:13">
      <c r="A34" s="7" t="s">
        <v>31</v>
      </c>
      <c r="B34" s="7" t="s">
        <v>33</v>
      </c>
      <c r="C34" s="9">
        <v>60</v>
      </c>
      <c r="D34" s="10">
        <v>332</v>
      </c>
      <c r="E34" s="10"/>
      <c r="F34" s="9">
        <f t="shared" si="0"/>
        <v>0</v>
      </c>
      <c r="G34" s="11">
        <f t="shared" si="1"/>
        <v>332</v>
      </c>
      <c r="H34" s="12">
        <v>1042.6500000000001</v>
      </c>
      <c r="I34" s="13">
        <f t="shared" si="2"/>
        <v>346159.80000000005</v>
      </c>
      <c r="J34" s="14">
        <v>1110</v>
      </c>
      <c r="K34" s="13">
        <f t="shared" si="3"/>
        <v>368520</v>
      </c>
      <c r="L34" s="11">
        <f>G34-'11'!D34</f>
        <v>15</v>
      </c>
      <c r="M34" s="13">
        <f t="shared" si="4"/>
        <v>16650</v>
      </c>
    </row>
    <row r="35" spans="1:13">
      <c r="A35" s="7" t="s">
        <v>34</v>
      </c>
      <c r="B35" s="7" t="s">
        <v>35</v>
      </c>
      <c r="C35" s="9">
        <v>7</v>
      </c>
      <c r="D35" s="10">
        <v>11</v>
      </c>
      <c r="E35" s="10"/>
      <c r="F35" s="9">
        <f t="shared" si="0"/>
        <v>0</v>
      </c>
      <c r="G35" s="11">
        <f t="shared" si="1"/>
        <v>11</v>
      </c>
      <c r="H35" s="12">
        <v>126.24</v>
      </c>
      <c r="I35" s="13">
        <f t="shared" si="2"/>
        <v>1388.6399999999999</v>
      </c>
      <c r="J35" s="14">
        <v>140</v>
      </c>
      <c r="K35" s="13">
        <f t="shared" si="3"/>
        <v>1540</v>
      </c>
      <c r="L35" s="11">
        <f>G35-'11'!D35</f>
        <v>0</v>
      </c>
      <c r="M35" s="13">
        <f t="shared" si="4"/>
        <v>0</v>
      </c>
    </row>
    <row r="36" spans="1:13">
      <c r="A36" s="7" t="s">
        <v>36</v>
      </c>
      <c r="B36" s="7" t="s">
        <v>37</v>
      </c>
      <c r="C36" s="9">
        <v>125</v>
      </c>
      <c r="D36" s="10">
        <v>23</v>
      </c>
      <c r="E36" s="10"/>
      <c r="F36" s="9">
        <f t="shared" si="0"/>
        <v>0</v>
      </c>
      <c r="G36" s="11">
        <f t="shared" si="1"/>
        <v>23</v>
      </c>
      <c r="H36" s="12">
        <v>2050.54</v>
      </c>
      <c r="I36" s="13">
        <f t="shared" si="2"/>
        <v>47162.42</v>
      </c>
      <c r="J36" s="14">
        <v>2175</v>
      </c>
      <c r="K36" s="13">
        <f t="shared" si="3"/>
        <v>50025</v>
      </c>
      <c r="L36" s="11">
        <f>G36-'11'!D36</f>
        <v>8</v>
      </c>
      <c r="M36" s="13">
        <f t="shared" si="4"/>
        <v>17400</v>
      </c>
    </row>
    <row r="37" spans="1:13">
      <c r="A37" s="7" t="s">
        <v>38</v>
      </c>
      <c r="B37" s="7" t="s">
        <v>17</v>
      </c>
      <c r="C37" s="9">
        <v>20</v>
      </c>
      <c r="D37" s="10">
        <v>2</v>
      </c>
      <c r="E37" s="10"/>
      <c r="F37" s="9">
        <f t="shared" si="0"/>
        <v>0</v>
      </c>
      <c r="G37" s="11">
        <f t="shared" si="1"/>
        <v>2</v>
      </c>
      <c r="H37" s="12">
        <v>399.19</v>
      </c>
      <c r="I37" s="13">
        <f t="shared" si="2"/>
        <v>798.38</v>
      </c>
      <c r="J37" s="14">
        <v>420</v>
      </c>
      <c r="K37" s="13">
        <f t="shared" si="3"/>
        <v>840</v>
      </c>
      <c r="L37" s="11">
        <f>G37-'11'!D37</f>
        <v>0</v>
      </c>
      <c r="M37" s="13">
        <f t="shared" si="4"/>
        <v>0</v>
      </c>
    </row>
    <row r="38" spans="1:13">
      <c r="A38" s="7" t="s">
        <v>38</v>
      </c>
      <c r="B38" s="7" t="s">
        <v>18</v>
      </c>
      <c r="C38" s="9">
        <v>20</v>
      </c>
      <c r="D38" s="10"/>
      <c r="E38" s="10"/>
      <c r="F38" s="9">
        <f t="shared" si="0"/>
        <v>0</v>
      </c>
      <c r="G38" s="11">
        <f t="shared" si="1"/>
        <v>0</v>
      </c>
      <c r="H38" s="12">
        <v>399.19</v>
      </c>
      <c r="I38" s="13">
        <f t="shared" si="2"/>
        <v>0</v>
      </c>
      <c r="J38" s="14">
        <v>420</v>
      </c>
      <c r="K38" s="13">
        <f t="shared" si="3"/>
        <v>0</v>
      </c>
      <c r="L38" s="11">
        <f>G38-'11'!D38</f>
        <v>0</v>
      </c>
      <c r="M38" s="13">
        <f t="shared" si="4"/>
        <v>0</v>
      </c>
    </row>
    <row r="39" spans="1:13">
      <c r="A39" s="7" t="s">
        <v>38</v>
      </c>
      <c r="B39" s="7" t="s">
        <v>21</v>
      </c>
      <c r="C39" s="9">
        <v>20</v>
      </c>
      <c r="D39" s="10"/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f>G39-'11'!D39</f>
        <v>0</v>
      </c>
      <c r="M39" s="13">
        <f t="shared" si="4"/>
        <v>0</v>
      </c>
    </row>
    <row r="40" spans="1:13">
      <c r="A40" s="7" t="s">
        <v>39</v>
      </c>
      <c r="B40" s="7" t="s">
        <v>35</v>
      </c>
      <c r="C40" s="9">
        <v>9</v>
      </c>
      <c r="D40" s="10">
        <v>70</v>
      </c>
      <c r="E40" s="10"/>
      <c r="F40" s="9">
        <f t="shared" si="0"/>
        <v>0</v>
      </c>
      <c r="G40" s="11">
        <f t="shared" si="1"/>
        <v>70</v>
      </c>
      <c r="H40" s="12">
        <v>174.19</v>
      </c>
      <c r="I40" s="13">
        <f t="shared" si="2"/>
        <v>12193.3</v>
      </c>
      <c r="J40" s="14">
        <v>185</v>
      </c>
      <c r="K40" s="13">
        <f t="shared" si="3"/>
        <v>12950</v>
      </c>
      <c r="L40" s="11">
        <f>G40-'11'!D40</f>
        <v>7</v>
      </c>
      <c r="M40" s="13">
        <f t="shared" si="4"/>
        <v>1295</v>
      </c>
    </row>
    <row r="41" spans="1:13">
      <c r="A41" s="7" t="s">
        <v>40</v>
      </c>
      <c r="B41" s="7" t="s">
        <v>13</v>
      </c>
      <c r="C41" s="9">
        <v>35</v>
      </c>
      <c r="D41" s="10">
        <v>20</v>
      </c>
      <c r="E41" s="10"/>
      <c r="F41" s="9">
        <f t="shared" si="0"/>
        <v>0</v>
      </c>
      <c r="G41" s="11">
        <f t="shared" si="1"/>
        <v>20</v>
      </c>
      <c r="H41" s="12">
        <v>748.13</v>
      </c>
      <c r="I41" s="13">
        <f t="shared" si="2"/>
        <v>14962.6</v>
      </c>
      <c r="J41" s="14">
        <v>795</v>
      </c>
      <c r="K41" s="13">
        <f t="shared" si="3"/>
        <v>15900</v>
      </c>
      <c r="L41" s="11">
        <f>G41-'11'!D41</f>
        <v>2</v>
      </c>
      <c r="M41" s="13">
        <f t="shared" si="4"/>
        <v>1590</v>
      </c>
    </row>
    <row r="42" spans="1:13">
      <c r="A42" s="7" t="s">
        <v>41</v>
      </c>
      <c r="B42" s="7" t="s">
        <v>17</v>
      </c>
      <c r="C42" s="9">
        <v>40</v>
      </c>
      <c r="D42" s="10">
        <v>51</v>
      </c>
      <c r="E42" s="10"/>
      <c r="F42" s="9">
        <f t="shared" si="0"/>
        <v>0</v>
      </c>
      <c r="G42" s="11">
        <f t="shared" si="1"/>
        <v>51</v>
      </c>
      <c r="H42" s="12">
        <v>842.86</v>
      </c>
      <c r="I42" s="13">
        <f t="shared" si="2"/>
        <v>42985.86</v>
      </c>
      <c r="J42" s="14">
        <v>900</v>
      </c>
      <c r="K42" s="13">
        <f t="shared" si="3"/>
        <v>45900</v>
      </c>
      <c r="L42" s="11">
        <f>G42-'11'!D42</f>
        <v>6</v>
      </c>
      <c r="M42" s="13">
        <f t="shared" si="4"/>
        <v>5400</v>
      </c>
    </row>
    <row r="43" spans="1:13">
      <c r="A43" s="7" t="s">
        <v>41</v>
      </c>
      <c r="B43" s="7" t="s">
        <v>18</v>
      </c>
      <c r="C43" s="9">
        <v>40</v>
      </c>
      <c r="D43" s="10">
        <v>20</v>
      </c>
      <c r="E43" s="10"/>
      <c r="F43" s="9">
        <f t="shared" si="0"/>
        <v>0</v>
      </c>
      <c r="G43" s="11">
        <f t="shared" si="1"/>
        <v>20</v>
      </c>
      <c r="H43" s="12">
        <v>842.86</v>
      </c>
      <c r="I43" s="13">
        <f t="shared" si="2"/>
        <v>16857.2</v>
      </c>
      <c r="J43" s="14">
        <v>900</v>
      </c>
      <c r="K43" s="13">
        <f t="shared" si="3"/>
        <v>18000</v>
      </c>
      <c r="L43" s="11">
        <f>G43-'11'!D43</f>
        <v>3</v>
      </c>
      <c r="M43" s="13">
        <f t="shared" si="4"/>
        <v>2700</v>
      </c>
    </row>
    <row r="44" spans="1:13">
      <c r="A44" s="7" t="s">
        <v>41</v>
      </c>
      <c r="B44" s="7" t="s">
        <v>19</v>
      </c>
      <c r="C44" s="9">
        <v>40</v>
      </c>
      <c r="D44" s="10"/>
      <c r="E44" s="10"/>
      <c r="F44" s="9">
        <f t="shared" si="0"/>
        <v>0</v>
      </c>
      <c r="G44" s="11">
        <f t="shared" si="1"/>
        <v>0</v>
      </c>
      <c r="H44" s="12">
        <v>839.68</v>
      </c>
      <c r="I44" s="13">
        <f t="shared" si="2"/>
        <v>0</v>
      </c>
      <c r="J44" s="14">
        <v>900</v>
      </c>
      <c r="K44" s="13">
        <f t="shared" si="3"/>
        <v>0</v>
      </c>
      <c r="L44" s="11">
        <f>G44-'11'!D44</f>
        <v>0</v>
      </c>
      <c r="M44" s="13">
        <f t="shared" si="4"/>
        <v>0</v>
      </c>
    </row>
    <row r="45" spans="1:13">
      <c r="A45" s="7" t="s">
        <v>41</v>
      </c>
      <c r="B45" s="7" t="s">
        <v>20</v>
      </c>
      <c r="C45" s="9">
        <v>40</v>
      </c>
      <c r="D45" s="10"/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f>G45-'11'!D45</f>
        <v>0</v>
      </c>
      <c r="M45" s="13">
        <f t="shared" si="4"/>
        <v>0</v>
      </c>
    </row>
    <row r="46" spans="1:13">
      <c r="A46" s="7" t="s">
        <v>41</v>
      </c>
      <c r="B46" s="7" t="s">
        <v>21</v>
      </c>
      <c r="C46" s="9">
        <v>40</v>
      </c>
      <c r="D46" s="10"/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f>G46-'11'!D46</f>
        <v>0</v>
      </c>
      <c r="M46" s="13">
        <f t="shared" si="4"/>
        <v>0</v>
      </c>
    </row>
    <row r="47" spans="1:13">
      <c r="A47" s="7" t="s">
        <v>42</v>
      </c>
      <c r="B47" s="7" t="s">
        <v>29</v>
      </c>
      <c r="C47" s="9">
        <v>18</v>
      </c>
      <c r="D47" s="10">
        <v>30</v>
      </c>
      <c r="E47" s="10"/>
      <c r="F47" s="9">
        <f t="shared" si="0"/>
        <v>0</v>
      </c>
      <c r="G47" s="11">
        <f t="shared" si="1"/>
        <v>30</v>
      </c>
      <c r="H47" s="12">
        <v>375.68</v>
      </c>
      <c r="I47" s="13">
        <f t="shared" si="2"/>
        <v>11270.4</v>
      </c>
      <c r="J47" s="14">
        <v>400</v>
      </c>
      <c r="K47" s="13">
        <f t="shared" si="3"/>
        <v>12000</v>
      </c>
      <c r="L47" s="11">
        <f>G47-'11'!D47</f>
        <v>5</v>
      </c>
      <c r="M47" s="13">
        <f t="shared" si="4"/>
        <v>2000</v>
      </c>
    </row>
    <row r="48" spans="1:13">
      <c r="A48" s="7" t="s">
        <v>54</v>
      </c>
      <c r="B48" s="7" t="s">
        <v>44</v>
      </c>
      <c r="C48" s="9">
        <v>50</v>
      </c>
      <c r="D48" s="11">
        <v>22</v>
      </c>
      <c r="E48" s="11"/>
      <c r="F48" s="9">
        <f t="shared" si="0"/>
        <v>0</v>
      </c>
      <c r="G48" s="11">
        <f t="shared" si="1"/>
        <v>22</v>
      </c>
      <c r="H48" s="12">
        <v>670.32</v>
      </c>
      <c r="I48" s="13">
        <f t="shared" si="2"/>
        <v>14747.04</v>
      </c>
      <c r="J48" s="14">
        <v>710</v>
      </c>
      <c r="K48" s="13">
        <f t="shared" si="3"/>
        <v>15620</v>
      </c>
      <c r="L48" s="11">
        <f>G48-'11'!D48</f>
        <v>8</v>
      </c>
      <c r="M48" s="13">
        <f t="shared" si="4"/>
        <v>5680</v>
      </c>
    </row>
    <row r="49" spans="1:13">
      <c r="A49" s="7" t="s">
        <v>43</v>
      </c>
      <c r="B49" s="7" t="s">
        <v>17</v>
      </c>
      <c r="C49" s="9">
        <v>50</v>
      </c>
      <c r="D49" s="10">
        <v>164</v>
      </c>
      <c r="E49" s="10"/>
      <c r="F49" s="9">
        <f t="shared" si="0"/>
        <v>0</v>
      </c>
      <c r="G49" s="11">
        <f t="shared" si="1"/>
        <v>164</v>
      </c>
      <c r="H49" s="12">
        <v>661.22</v>
      </c>
      <c r="I49" s="13">
        <f t="shared" si="2"/>
        <v>108440.08</v>
      </c>
      <c r="J49" s="14">
        <v>710</v>
      </c>
      <c r="K49" s="13">
        <f t="shared" si="3"/>
        <v>116440</v>
      </c>
      <c r="L49" s="11">
        <f>G49-'11'!D49</f>
        <v>22</v>
      </c>
      <c r="M49" s="13">
        <f t="shared" si="4"/>
        <v>15620</v>
      </c>
    </row>
    <row r="50" spans="1:13">
      <c r="A50" s="7" t="s">
        <v>43</v>
      </c>
      <c r="B50" s="7" t="s">
        <v>18</v>
      </c>
      <c r="C50" s="9">
        <v>50</v>
      </c>
      <c r="D50" s="10">
        <v>25</v>
      </c>
      <c r="E50" s="10"/>
      <c r="F50" s="9">
        <f t="shared" si="0"/>
        <v>0</v>
      </c>
      <c r="G50" s="11">
        <f t="shared" si="1"/>
        <v>25</v>
      </c>
      <c r="H50" s="12">
        <v>661.22</v>
      </c>
      <c r="I50" s="13">
        <f t="shared" si="2"/>
        <v>16530.5</v>
      </c>
      <c r="J50" s="14">
        <v>710</v>
      </c>
      <c r="K50" s="13">
        <f t="shared" si="3"/>
        <v>17750</v>
      </c>
      <c r="L50" s="11">
        <f>G50-'11'!D50</f>
        <v>14</v>
      </c>
      <c r="M50" s="13">
        <f t="shared" si="4"/>
        <v>9940</v>
      </c>
    </row>
    <row r="51" spans="1:13">
      <c r="A51" s="7" t="s">
        <v>43</v>
      </c>
      <c r="B51" s="7" t="s">
        <v>19</v>
      </c>
      <c r="C51" s="9">
        <v>50</v>
      </c>
      <c r="D51" s="10"/>
      <c r="E51" s="10"/>
      <c r="F51" s="9">
        <f t="shared" si="0"/>
        <v>0</v>
      </c>
      <c r="G51" s="11">
        <f t="shared" si="1"/>
        <v>0</v>
      </c>
      <c r="H51" s="12">
        <v>661.22</v>
      </c>
      <c r="I51" s="13">
        <f t="shared" si="2"/>
        <v>0</v>
      </c>
      <c r="J51" s="14">
        <v>710</v>
      </c>
      <c r="K51" s="13">
        <f t="shared" si="3"/>
        <v>0</v>
      </c>
      <c r="L51" s="11">
        <f>G51-'11'!D51</f>
        <v>0</v>
      </c>
      <c r="M51" s="13">
        <f t="shared" si="4"/>
        <v>0</v>
      </c>
    </row>
    <row r="52" spans="1:13">
      <c r="A52" s="7" t="s">
        <v>43</v>
      </c>
      <c r="B52" s="7" t="s">
        <v>20</v>
      </c>
      <c r="C52" s="9">
        <v>50</v>
      </c>
      <c r="D52" s="10"/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f>G52-'11'!D52</f>
        <v>0</v>
      </c>
      <c r="M52" s="13">
        <f t="shared" si="4"/>
        <v>0</v>
      </c>
    </row>
    <row r="53" spans="1:13">
      <c r="A53" s="7" t="s">
        <v>43</v>
      </c>
      <c r="B53" s="7" t="s">
        <v>21</v>
      </c>
      <c r="C53" s="9">
        <v>50</v>
      </c>
      <c r="D53" s="10"/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f>G53-'11'!D53</f>
        <v>0</v>
      </c>
      <c r="M53" s="13">
        <f t="shared" si="4"/>
        <v>0</v>
      </c>
    </row>
    <row r="54" spans="1:13">
      <c r="A54" s="7" t="s">
        <v>43</v>
      </c>
      <c r="B54" s="7" t="s">
        <v>44</v>
      </c>
      <c r="C54" s="9">
        <v>85</v>
      </c>
      <c r="D54" s="10">
        <v>3</v>
      </c>
      <c r="E54" s="10"/>
      <c r="F54" s="9">
        <f t="shared" si="0"/>
        <v>0</v>
      </c>
      <c r="G54" s="11">
        <f t="shared" si="1"/>
        <v>3</v>
      </c>
      <c r="H54" s="12">
        <v>797.07</v>
      </c>
      <c r="I54" s="13">
        <f t="shared" si="2"/>
        <v>2391.21</v>
      </c>
      <c r="J54" s="14">
        <v>845</v>
      </c>
      <c r="K54" s="13">
        <f t="shared" si="3"/>
        <v>2535</v>
      </c>
      <c r="L54" s="11">
        <f>G54-'11'!D54</f>
        <v>0</v>
      </c>
      <c r="M54" s="13">
        <f t="shared" si="4"/>
        <v>0</v>
      </c>
    </row>
    <row r="55" spans="1:13">
      <c r="A55" s="7" t="s">
        <v>45</v>
      </c>
      <c r="B55" s="7" t="s">
        <v>35</v>
      </c>
      <c r="C55" s="9">
        <v>18</v>
      </c>
      <c r="D55" s="10">
        <v>1136</v>
      </c>
      <c r="E55" s="10"/>
      <c r="F55" s="9">
        <f t="shared" si="0"/>
        <v>0</v>
      </c>
      <c r="G55" s="11">
        <f t="shared" si="1"/>
        <v>1136</v>
      </c>
      <c r="H55" s="12">
        <v>160.77000000000001</v>
      </c>
      <c r="I55" s="13">
        <f t="shared" si="2"/>
        <v>182634.72</v>
      </c>
      <c r="J55" s="14">
        <v>175</v>
      </c>
      <c r="K55" s="13">
        <f t="shared" si="3"/>
        <v>198800</v>
      </c>
      <c r="L55" s="11">
        <f>G55-'11'!D55</f>
        <v>75</v>
      </c>
      <c r="M55" s="13">
        <f t="shared" si="4"/>
        <v>13125</v>
      </c>
    </row>
    <row r="56" spans="1:13">
      <c r="A56" s="7" t="s">
        <v>46</v>
      </c>
      <c r="B56" s="7" t="s">
        <v>13</v>
      </c>
      <c r="C56" s="9">
        <v>70</v>
      </c>
      <c r="D56" s="10">
        <v>19</v>
      </c>
      <c r="E56" s="10"/>
      <c r="F56" s="9">
        <f t="shared" si="0"/>
        <v>0</v>
      </c>
      <c r="G56" s="11">
        <f t="shared" si="1"/>
        <v>19</v>
      </c>
      <c r="H56" s="12">
        <v>744.99</v>
      </c>
      <c r="I56" s="13">
        <f t="shared" si="2"/>
        <v>14154.81</v>
      </c>
      <c r="J56" s="14">
        <v>790</v>
      </c>
      <c r="K56" s="13">
        <f t="shared" si="3"/>
        <v>15010</v>
      </c>
      <c r="L56" s="11">
        <f>G56-'11'!D56</f>
        <v>1</v>
      </c>
      <c r="M56" s="13">
        <f t="shared" si="4"/>
        <v>790</v>
      </c>
    </row>
    <row r="57" spans="1:13">
      <c r="A57" s="7" t="s">
        <v>47</v>
      </c>
      <c r="B57" s="7" t="s">
        <v>29</v>
      </c>
      <c r="C57" s="9">
        <v>30</v>
      </c>
      <c r="D57" s="10"/>
      <c r="E57" s="10"/>
      <c r="F57" s="9">
        <f t="shared" si="0"/>
        <v>0</v>
      </c>
      <c r="G57" s="11">
        <f t="shared" si="1"/>
        <v>0</v>
      </c>
      <c r="H57" s="12">
        <v>316.14999999999998</v>
      </c>
      <c r="I57" s="13">
        <f t="shared" si="2"/>
        <v>0</v>
      </c>
      <c r="J57" s="14">
        <v>336</v>
      </c>
      <c r="K57" s="13">
        <f t="shared" si="3"/>
        <v>0</v>
      </c>
      <c r="L57" s="11">
        <f>G57-'11'!D57</f>
        <v>0</v>
      </c>
      <c r="M57" s="13">
        <f t="shared" si="4"/>
        <v>0</v>
      </c>
    </row>
    <row r="58" spans="1:13">
      <c r="A58" s="7" t="s">
        <v>48</v>
      </c>
      <c r="B58" s="7" t="s">
        <v>13</v>
      </c>
      <c r="C58" s="9">
        <v>95</v>
      </c>
      <c r="D58" s="10">
        <v>2</v>
      </c>
      <c r="E58" s="10"/>
      <c r="F58" s="9">
        <f t="shared" si="0"/>
        <v>0</v>
      </c>
      <c r="G58" s="11">
        <f t="shared" si="1"/>
        <v>2</v>
      </c>
      <c r="H58" s="12">
        <v>1042.9000000000001</v>
      </c>
      <c r="I58" s="13">
        <f t="shared" si="2"/>
        <v>2085.8000000000002</v>
      </c>
      <c r="J58" s="14">
        <v>1105</v>
      </c>
      <c r="K58" s="13">
        <f t="shared" si="3"/>
        <v>2210</v>
      </c>
      <c r="L58" s="11">
        <f>G58-'11'!D58</f>
        <v>1</v>
      </c>
      <c r="M58" s="13">
        <f t="shared" si="4"/>
        <v>1105</v>
      </c>
    </row>
    <row r="59" spans="1:13">
      <c r="A59" s="7" t="s">
        <v>49</v>
      </c>
      <c r="B59" s="7" t="s">
        <v>35</v>
      </c>
      <c r="C59" s="9">
        <v>28</v>
      </c>
      <c r="D59" s="10">
        <v>24</v>
      </c>
      <c r="E59" s="10"/>
      <c r="F59" s="9">
        <f t="shared" si="0"/>
        <v>0</v>
      </c>
      <c r="G59" s="11">
        <f t="shared" si="1"/>
        <v>24</v>
      </c>
      <c r="H59" s="12">
        <v>165.06</v>
      </c>
      <c r="I59" s="13">
        <f t="shared" si="2"/>
        <v>3961.44</v>
      </c>
      <c r="J59" s="14">
        <v>180</v>
      </c>
      <c r="K59" s="13">
        <f t="shared" si="3"/>
        <v>4320</v>
      </c>
      <c r="L59" s="11">
        <f>G59-'11'!D59</f>
        <v>9</v>
      </c>
      <c r="M59" s="13">
        <f t="shared" si="4"/>
        <v>1620</v>
      </c>
    </row>
    <row r="60" spans="1:13">
      <c r="A60" s="7" t="s">
        <v>50</v>
      </c>
      <c r="B60" s="7" t="s">
        <v>17</v>
      </c>
      <c r="C60" s="9">
        <v>70</v>
      </c>
      <c r="D60" s="10"/>
      <c r="E60" s="10"/>
      <c r="F60" s="9">
        <f t="shared" si="0"/>
        <v>0</v>
      </c>
      <c r="G60" s="11">
        <f t="shared" si="1"/>
        <v>0</v>
      </c>
      <c r="H60" s="12">
        <v>721.25</v>
      </c>
      <c r="I60" s="13">
        <f t="shared" si="2"/>
        <v>0</v>
      </c>
      <c r="J60" s="14">
        <v>771</v>
      </c>
      <c r="K60" s="13">
        <f t="shared" si="3"/>
        <v>0</v>
      </c>
      <c r="L60" s="11">
        <f>G60-'11'!D60</f>
        <v>0</v>
      </c>
      <c r="M60" s="13">
        <f t="shared" si="4"/>
        <v>0</v>
      </c>
    </row>
    <row r="61" spans="1:13">
      <c r="A61" s="7" t="s">
        <v>50</v>
      </c>
      <c r="B61" s="7" t="s">
        <v>18</v>
      </c>
      <c r="C61" s="9">
        <v>70</v>
      </c>
      <c r="D61" s="10"/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f>G61-'11'!D61</f>
        <v>0</v>
      </c>
      <c r="M61" s="13">
        <f t="shared" si="4"/>
        <v>0</v>
      </c>
    </row>
    <row r="62" spans="1:13">
      <c r="A62" s="7" t="s">
        <v>51</v>
      </c>
      <c r="B62" s="7" t="s">
        <v>17</v>
      </c>
      <c r="C62" s="9">
        <v>100</v>
      </c>
      <c r="D62" s="10">
        <v>177</v>
      </c>
      <c r="E62" s="10"/>
      <c r="F62" s="9">
        <f t="shared" si="0"/>
        <v>0</v>
      </c>
      <c r="G62" s="11">
        <f t="shared" si="1"/>
        <v>177</v>
      </c>
      <c r="H62" s="12">
        <v>790.89</v>
      </c>
      <c r="I62" s="13">
        <f t="shared" si="2"/>
        <v>139987.53</v>
      </c>
      <c r="J62" s="14">
        <v>845</v>
      </c>
      <c r="K62" s="13">
        <f t="shared" si="3"/>
        <v>149565</v>
      </c>
      <c r="L62" s="11">
        <f>G62-'11'!D62</f>
        <v>62</v>
      </c>
      <c r="M62" s="13">
        <f t="shared" si="4"/>
        <v>52390</v>
      </c>
    </row>
    <row r="63" spans="1:13">
      <c r="A63" s="7" t="s">
        <v>51</v>
      </c>
      <c r="B63" s="7" t="s">
        <v>18</v>
      </c>
      <c r="C63" s="9">
        <v>100</v>
      </c>
      <c r="D63" s="10">
        <v>42</v>
      </c>
      <c r="E63" s="10"/>
      <c r="F63" s="9">
        <f t="shared" si="0"/>
        <v>0</v>
      </c>
      <c r="G63" s="11">
        <f t="shared" si="1"/>
        <v>42</v>
      </c>
      <c r="H63" s="12">
        <v>790.89</v>
      </c>
      <c r="I63" s="13">
        <f t="shared" si="2"/>
        <v>33217.379999999997</v>
      </c>
      <c r="J63" s="14">
        <v>845</v>
      </c>
      <c r="K63" s="13">
        <f t="shared" si="3"/>
        <v>35490</v>
      </c>
      <c r="L63" s="11">
        <f>G63-'11'!D63</f>
        <v>40</v>
      </c>
      <c r="M63" s="13">
        <f t="shared" si="4"/>
        <v>33800</v>
      </c>
    </row>
    <row r="64" spans="1:13">
      <c r="A64" s="7" t="s">
        <v>51</v>
      </c>
      <c r="B64" s="7" t="s">
        <v>19</v>
      </c>
      <c r="C64" s="9">
        <v>100</v>
      </c>
      <c r="D64" s="10"/>
      <c r="E64" s="10"/>
      <c r="F64" s="9">
        <f t="shared" si="0"/>
        <v>0</v>
      </c>
      <c r="G64" s="11">
        <f t="shared" si="1"/>
        <v>0</v>
      </c>
      <c r="H64" s="12">
        <v>790.89</v>
      </c>
      <c r="I64" s="13">
        <f t="shared" si="2"/>
        <v>0</v>
      </c>
      <c r="J64" s="14">
        <v>845</v>
      </c>
      <c r="K64" s="13">
        <f t="shared" si="3"/>
        <v>0</v>
      </c>
      <c r="L64" s="11">
        <f>G64-'11'!D64</f>
        <v>0</v>
      </c>
      <c r="M64" s="13">
        <f t="shared" si="4"/>
        <v>0</v>
      </c>
    </row>
    <row r="65" spans="1:13">
      <c r="A65" s="7" t="s">
        <v>51</v>
      </c>
      <c r="B65" s="7" t="s">
        <v>20</v>
      </c>
      <c r="C65" s="9">
        <v>100</v>
      </c>
      <c r="D65" s="10"/>
      <c r="E65" s="11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f>G65-'11'!D65</f>
        <v>0</v>
      </c>
      <c r="M65" s="13">
        <f t="shared" si="4"/>
        <v>0</v>
      </c>
    </row>
    <row r="66" spans="1:13">
      <c r="A66" s="7" t="s">
        <v>51</v>
      </c>
      <c r="B66" s="7" t="s">
        <v>21</v>
      </c>
      <c r="C66" s="9">
        <v>100</v>
      </c>
      <c r="D66" s="10"/>
      <c r="E66" s="11"/>
      <c r="F66" s="15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f>G66-'11'!D66</f>
        <v>0</v>
      </c>
      <c r="M66" s="13">
        <f t="shared" si="4"/>
        <v>0</v>
      </c>
    </row>
    <row r="67" spans="1:13">
      <c r="A67" s="35" t="s">
        <v>52</v>
      </c>
      <c r="B67" s="36"/>
      <c r="C67" s="37"/>
      <c r="D67" s="16">
        <f>SUM(D2:D66)</f>
        <v>4489</v>
      </c>
      <c r="E67" s="17">
        <f>SUM(E2:E66)</f>
        <v>0</v>
      </c>
      <c r="F67" s="18">
        <f>SUM(F2:F66)</f>
        <v>0</v>
      </c>
      <c r="G67" s="17">
        <f>SUM(G2:G66)</f>
        <v>4489</v>
      </c>
      <c r="H67" s="19"/>
      <c r="I67" s="20">
        <f>SUM(I2:I66)</f>
        <v>1803138.4799999997</v>
      </c>
      <c r="J67" s="21">
        <f>SUM(J2:J66)</f>
        <v>39088</v>
      </c>
      <c r="K67" s="22">
        <f>SUM(K2:K66)</f>
        <v>1929126</v>
      </c>
      <c r="L67" s="23">
        <f>SUM(L2:L66)</f>
        <v>485</v>
      </c>
      <c r="M67" s="24">
        <f>SUM(M2:M66)</f>
        <v>275572</v>
      </c>
    </row>
    <row r="70" spans="1:13">
      <c r="F70" s="31"/>
    </row>
    <row r="73" spans="1:13">
      <c r="I73" s="33"/>
      <c r="J73" s="32"/>
      <c r="K73" s="33"/>
    </row>
    <row r="74" spans="1:13">
      <c r="I74" s="33"/>
      <c r="J74" s="32"/>
      <c r="K74" s="33"/>
    </row>
    <row r="75" spans="1:13">
      <c r="I75" s="33"/>
      <c r="J75" s="29"/>
      <c r="K75" s="30"/>
    </row>
    <row r="76" spans="1:13">
      <c r="D76" s="25" t="s">
        <v>53</v>
      </c>
      <c r="I76" s="33"/>
      <c r="J76" s="34"/>
      <c r="K76" s="34"/>
    </row>
    <row r="77" spans="1:13">
      <c r="I77" s="33"/>
      <c r="J77" s="32"/>
      <c r="K77" s="33"/>
    </row>
    <row r="78" spans="1:13">
      <c r="F78" s="26"/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</row>
  </sheetData>
  <mergeCells count="1">
    <mergeCell ref="A67:C6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80"/>
  <sheetViews>
    <sheetView workbookViewId="0">
      <selection sqref="A1:XFD1048576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398</v>
      </c>
      <c r="E2" s="11"/>
      <c r="F2" s="9">
        <f>E2*H2</f>
        <v>0</v>
      </c>
      <c r="G2" s="11">
        <f>D2+E2</f>
        <v>398</v>
      </c>
      <c r="H2" s="12">
        <v>308.13</v>
      </c>
      <c r="I2" s="13">
        <f>H2*D2</f>
        <v>122635.74</v>
      </c>
      <c r="J2" s="14">
        <v>326</v>
      </c>
      <c r="K2" s="13">
        <f>J2*D2</f>
        <v>129748</v>
      </c>
      <c r="L2" s="11">
        <v>0</v>
      </c>
      <c r="M2" s="13">
        <f>L2*J2</f>
        <v>0</v>
      </c>
    </row>
    <row r="3" spans="1:13">
      <c r="A3" s="7" t="s">
        <v>12</v>
      </c>
      <c r="B3" s="8" t="s">
        <v>14</v>
      </c>
      <c r="C3" s="9">
        <v>9</v>
      </c>
      <c r="D3" s="10">
        <v>92</v>
      </c>
      <c r="E3" s="11"/>
      <c r="F3" s="9">
        <f t="shared" ref="F3:F66" si="0">E3*H3</f>
        <v>0</v>
      </c>
      <c r="G3" s="11">
        <f t="shared" ref="G3:G66" si="1">D3+E3</f>
        <v>92</v>
      </c>
      <c r="H3" s="12">
        <v>308.19</v>
      </c>
      <c r="I3" s="13">
        <f t="shared" ref="I3:I66" si="2">H3*D3</f>
        <v>28353.48</v>
      </c>
      <c r="J3" s="14">
        <v>326</v>
      </c>
      <c r="K3" s="13">
        <f t="shared" ref="K3:K66" si="3">J3*D3</f>
        <v>29992</v>
      </c>
      <c r="L3" s="11">
        <v>0</v>
      </c>
      <c r="M3" s="13">
        <f t="shared" ref="M3:M66" si="4">L3*J3</f>
        <v>0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246</v>
      </c>
      <c r="E5" s="11"/>
      <c r="F5" s="9">
        <f t="shared" si="0"/>
        <v>0</v>
      </c>
      <c r="G5" s="11">
        <f t="shared" si="1"/>
        <v>246</v>
      </c>
      <c r="H5" s="12">
        <v>174.77</v>
      </c>
      <c r="I5" s="13">
        <f t="shared" si="2"/>
        <v>42993.420000000006</v>
      </c>
      <c r="J5" s="14">
        <v>192</v>
      </c>
      <c r="K5" s="13">
        <f t="shared" si="3"/>
        <v>47232</v>
      </c>
      <c r="L5" s="11">
        <v>0</v>
      </c>
      <c r="M5" s="13">
        <f t="shared" si="4"/>
        <v>0</v>
      </c>
    </row>
    <row r="6" spans="1:13">
      <c r="A6" s="7" t="s">
        <v>16</v>
      </c>
      <c r="B6" s="8" t="s">
        <v>18</v>
      </c>
      <c r="C6" s="9">
        <v>10</v>
      </c>
      <c r="D6" s="10">
        <v>214</v>
      </c>
      <c r="E6" s="11"/>
      <c r="F6" s="9">
        <f t="shared" si="0"/>
        <v>0</v>
      </c>
      <c r="G6" s="11">
        <f t="shared" si="1"/>
        <v>214</v>
      </c>
      <c r="H6" s="12">
        <v>174.77</v>
      </c>
      <c r="I6" s="13">
        <f t="shared" si="2"/>
        <v>37400.78</v>
      </c>
      <c r="J6" s="14">
        <v>192</v>
      </c>
      <c r="K6" s="13">
        <f t="shared" si="3"/>
        <v>41088</v>
      </c>
      <c r="L6" s="11">
        <v>0</v>
      </c>
      <c r="M6" s="13">
        <f t="shared" si="4"/>
        <v>0</v>
      </c>
    </row>
    <row r="7" spans="1:13">
      <c r="A7" s="7" t="s">
        <v>16</v>
      </c>
      <c r="B7" s="8" t="s">
        <v>19</v>
      </c>
      <c r="C7" s="9">
        <v>10</v>
      </c>
      <c r="D7" s="10">
        <v>43</v>
      </c>
      <c r="E7" s="11"/>
      <c r="F7" s="9">
        <f t="shared" si="0"/>
        <v>0</v>
      </c>
      <c r="G7" s="11">
        <f t="shared" si="1"/>
        <v>43</v>
      </c>
      <c r="H7" s="12">
        <v>174.77</v>
      </c>
      <c r="I7" s="13">
        <f t="shared" si="2"/>
        <v>7515.1100000000006</v>
      </c>
      <c r="J7" s="14">
        <v>192</v>
      </c>
      <c r="K7" s="13">
        <f t="shared" si="3"/>
        <v>8256</v>
      </c>
      <c r="L7" s="11">
        <v>0</v>
      </c>
      <c r="M7" s="13">
        <f t="shared" si="4"/>
        <v>0</v>
      </c>
    </row>
    <row r="8" spans="1:13">
      <c r="A8" s="7" t="s">
        <v>16</v>
      </c>
      <c r="B8" s="8" t="s">
        <v>20</v>
      </c>
      <c r="C8" s="9">
        <v>10</v>
      </c>
      <c r="D8" s="10">
        <v>45</v>
      </c>
      <c r="E8" s="11"/>
      <c r="F8" s="9">
        <f t="shared" si="0"/>
        <v>0</v>
      </c>
      <c r="G8" s="11">
        <f t="shared" si="1"/>
        <v>45</v>
      </c>
      <c r="H8" s="12">
        <v>174.77</v>
      </c>
      <c r="I8" s="13">
        <f t="shared" si="2"/>
        <v>7864.6500000000005</v>
      </c>
      <c r="J8" s="14">
        <v>192</v>
      </c>
      <c r="K8" s="13">
        <f t="shared" si="3"/>
        <v>8640</v>
      </c>
      <c r="L8" s="11">
        <v>0</v>
      </c>
      <c r="M8" s="13">
        <f t="shared" si="4"/>
        <v>0</v>
      </c>
    </row>
    <row r="9" spans="1:13">
      <c r="A9" s="7" t="s">
        <v>16</v>
      </c>
      <c r="B9" s="8" t="s">
        <v>21</v>
      </c>
      <c r="C9" s="9">
        <v>10</v>
      </c>
      <c r="D9" s="10">
        <v>149</v>
      </c>
      <c r="E9" s="11"/>
      <c r="F9" s="9">
        <f t="shared" si="0"/>
        <v>0</v>
      </c>
      <c r="G9" s="11">
        <f t="shared" si="1"/>
        <v>149</v>
      </c>
      <c r="H9" s="12">
        <v>174.77</v>
      </c>
      <c r="I9" s="13">
        <f t="shared" si="2"/>
        <v>26040.730000000003</v>
      </c>
      <c r="J9" s="14">
        <v>192</v>
      </c>
      <c r="K9" s="13">
        <f t="shared" si="3"/>
        <v>28608</v>
      </c>
      <c r="L9" s="11">
        <v>0</v>
      </c>
      <c r="M9" s="13">
        <f t="shared" si="4"/>
        <v>0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22</v>
      </c>
      <c r="E11" s="11"/>
      <c r="F11" s="9">
        <f t="shared" si="0"/>
        <v>0</v>
      </c>
      <c r="G11" s="11">
        <f t="shared" si="1"/>
        <v>22</v>
      </c>
      <c r="H11" s="12">
        <v>470.8</v>
      </c>
      <c r="I11" s="13">
        <f t="shared" si="2"/>
        <v>10357.6</v>
      </c>
      <c r="J11" s="14">
        <v>505</v>
      </c>
      <c r="K11" s="13">
        <f t="shared" si="3"/>
        <v>11110</v>
      </c>
      <c r="L11" s="11">
        <v>0</v>
      </c>
      <c r="M11" s="13">
        <f t="shared" si="4"/>
        <v>0</v>
      </c>
    </row>
    <row r="12" spans="1:13">
      <c r="A12" s="7" t="s">
        <v>22</v>
      </c>
      <c r="B12" s="8" t="s">
        <v>17</v>
      </c>
      <c r="C12" s="9">
        <v>20</v>
      </c>
      <c r="D12" s="10">
        <v>350</v>
      </c>
      <c r="E12" s="11"/>
      <c r="F12" s="9">
        <f>E12*H12</f>
        <v>0</v>
      </c>
      <c r="G12" s="11">
        <f t="shared" si="1"/>
        <v>350</v>
      </c>
      <c r="H12" s="12">
        <v>475.77</v>
      </c>
      <c r="I12" s="13">
        <f t="shared" si="2"/>
        <v>166519.5</v>
      </c>
      <c r="J12" s="14">
        <v>505</v>
      </c>
      <c r="K12" s="13">
        <f t="shared" si="3"/>
        <v>176750</v>
      </c>
      <c r="L12" s="11">
        <v>0</v>
      </c>
      <c r="M12" s="13">
        <f t="shared" si="4"/>
        <v>0</v>
      </c>
    </row>
    <row r="13" spans="1:13">
      <c r="A13" s="7" t="s">
        <v>22</v>
      </c>
      <c r="B13" s="8" t="s">
        <v>18</v>
      </c>
      <c r="C13" s="9">
        <v>20</v>
      </c>
      <c r="D13" s="10">
        <v>227</v>
      </c>
      <c r="E13" s="11"/>
      <c r="F13" s="9">
        <f t="shared" si="0"/>
        <v>0</v>
      </c>
      <c r="G13" s="11">
        <f t="shared" si="1"/>
        <v>227</v>
      </c>
      <c r="H13" s="12">
        <v>475.77</v>
      </c>
      <c r="I13" s="13">
        <f t="shared" si="2"/>
        <v>107999.79</v>
      </c>
      <c r="J13" s="14">
        <v>505</v>
      </c>
      <c r="K13" s="13">
        <f t="shared" si="3"/>
        <v>114635</v>
      </c>
      <c r="L13" s="11">
        <v>0</v>
      </c>
      <c r="M13" s="13">
        <f t="shared" si="4"/>
        <v>0</v>
      </c>
    </row>
    <row r="14" spans="1:13">
      <c r="A14" s="7" t="s">
        <v>22</v>
      </c>
      <c r="B14" s="8" t="s">
        <v>19</v>
      </c>
      <c r="C14" s="9">
        <v>20</v>
      </c>
      <c r="D14" s="10">
        <v>4</v>
      </c>
      <c r="E14" s="11"/>
      <c r="F14" s="9">
        <f t="shared" si="0"/>
        <v>0</v>
      </c>
      <c r="G14" s="11">
        <f t="shared" si="1"/>
        <v>4</v>
      </c>
      <c r="H14" s="12">
        <v>470.8</v>
      </c>
      <c r="I14" s="13">
        <f t="shared" si="2"/>
        <v>1883.2</v>
      </c>
      <c r="J14" s="14">
        <v>505</v>
      </c>
      <c r="K14" s="13">
        <f t="shared" si="3"/>
        <v>2020</v>
      </c>
      <c r="L14" s="11">
        <v>0</v>
      </c>
      <c r="M14" s="13">
        <f t="shared" si="4"/>
        <v>0</v>
      </c>
    </row>
    <row r="15" spans="1:13">
      <c r="A15" s="7" t="s">
        <v>22</v>
      </c>
      <c r="B15" s="8" t="s">
        <v>20</v>
      </c>
      <c r="C15" s="9">
        <v>20</v>
      </c>
      <c r="D15" s="10">
        <v>22</v>
      </c>
      <c r="E15" s="11"/>
      <c r="F15" s="9">
        <f t="shared" si="0"/>
        <v>0</v>
      </c>
      <c r="G15" s="11">
        <f t="shared" si="1"/>
        <v>22</v>
      </c>
      <c r="H15" s="12">
        <v>470.8</v>
      </c>
      <c r="I15" s="13">
        <f t="shared" si="2"/>
        <v>10357.6</v>
      </c>
      <c r="J15" s="14">
        <v>505</v>
      </c>
      <c r="K15" s="13">
        <f t="shared" si="3"/>
        <v>11110</v>
      </c>
      <c r="L15" s="11">
        <v>0</v>
      </c>
      <c r="M15" s="13">
        <f t="shared" si="4"/>
        <v>0</v>
      </c>
    </row>
    <row r="16" spans="1:13">
      <c r="A16" s="7" t="s">
        <v>22</v>
      </c>
      <c r="B16" s="8" t="s">
        <v>21</v>
      </c>
      <c r="C16" s="9">
        <v>20</v>
      </c>
      <c r="D16" s="10"/>
      <c r="E16" s="11"/>
      <c r="F16" s="9">
        <f t="shared" si="0"/>
        <v>0</v>
      </c>
      <c r="G16" s="11">
        <f t="shared" si="1"/>
        <v>0</v>
      </c>
      <c r="H16" s="12">
        <v>470.8</v>
      </c>
      <c r="I16" s="13">
        <f t="shared" si="2"/>
        <v>0</v>
      </c>
      <c r="J16" s="14">
        <v>505</v>
      </c>
      <c r="K16" s="13">
        <f t="shared" si="3"/>
        <v>0</v>
      </c>
      <c r="L16" s="11">
        <v>0</v>
      </c>
      <c r="M16" s="13">
        <f t="shared" si="4"/>
        <v>0</v>
      </c>
    </row>
    <row r="17" spans="1:13">
      <c r="A17" s="7" t="s">
        <v>22</v>
      </c>
      <c r="B17" s="8" t="s">
        <v>29</v>
      </c>
      <c r="C17" s="9">
        <v>11</v>
      </c>
      <c r="D17" s="10">
        <v>58</v>
      </c>
      <c r="E17" s="11"/>
      <c r="F17" s="9">
        <f t="shared" si="0"/>
        <v>0</v>
      </c>
      <c r="G17" s="11">
        <f t="shared" si="1"/>
        <v>58</v>
      </c>
      <c r="H17" s="12">
        <v>235.59</v>
      </c>
      <c r="I17" s="13">
        <f t="shared" si="2"/>
        <v>13664.22</v>
      </c>
      <c r="J17" s="14">
        <v>250</v>
      </c>
      <c r="K17" s="13">
        <f t="shared" si="3"/>
        <v>14500</v>
      </c>
      <c r="L17" s="11">
        <v>0</v>
      </c>
      <c r="M17" s="13">
        <f t="shared" si="4"/>
        <v>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/>
      <c r="E19" s="11"/>
      <c r="F19" s="9">
        <f t="shared" si="0"/>
        <v>0</v>
      </c>
      <c r="G19" s="11">
        <f t="shared" si="1"/>
        <v>0</v>
      </c>
      <c r="H19" s="12">
        <v>204</v>
      </c>
      <c r="I19" s="13">
        <f t="shared" si="2"/>
        <v>0</v>
      </c>
      <c r="J19" s="14">
        <v>230</v>
      </c>
      <c r="K19" s="13">
        <f t="shared" si="3"/>
        <v>0</v>
      </c>
      <c r="L19" s="11">
        <v>0</v>
      </c>
      <c r="M19" s="13">
        <f t="shared" si="4"/>
        <v>0</v>
      </c>
    </row>
    <row r="20" spans="1:13">
      <c r="A20" s="7" t="s">
        <v>22</v>
      </c>
      <c r="B20" s="8" t="s">
        <v>25</v>
      </c>
      <c r="C20" s="9">
        <v>10</v>
      </c>
      <c r="D20" s="10"/>
      <c r="E20" s="11"/>
      <c r="F20" s="9">
        <f t="shared" si="0"/>
        <v>0</v>
      </c>
      <c r="G20" s="11">
        <f t="shared" si="1"/>
        <v>0</v>
      </c>
      <c r="H20" s="12">
        <v>204</v>
      </c>
      <c r="I20" s="13">
        <f>H20*D20</f>
        <v>0</v>
      </c>
      <c r="J20" s="14">
        <v>230</v>
      </c>
      <c r="K20" s="13">
        <f t="shared" si="3"/>
        <v>0</v>
      </c>
      <c r="L20" s="11">
        <v>0</v>
      </c>
      <c r="M20" s="13">
        <f t="shared" si="4"/>
        <v>0</v>
      </c>
    </row>
    <row r="21" spans="1:13">
      <c r="A21" s="7" t="s">
        <v>22</v>
      </c>
      <c r="B21" s="8" t="s">
        <v>26</v>
      </c>
      <c r="C21" s="9">
        <v>10</v>
      </c>
      <c r="D21" s="10">
        <v>25</v>
      </c>
      <c r="E21" s="11"/>
      <c r="F21" s="9">
        <f t="shared" si="0"/>
        <v>0</v>
      </c>
      <c r="G21" s="11">
        <f t="shared" si="1"/>
        <v>25</v>
      </c>
      <c r="H21" s="12">
        <v>204</v>
      </c>
      <c r="I21" s="13">
        <f t="shared" si="2"/>
        <v>5100</v>
      </c>
      <c r="J21" s="14">
        <v>230</v>
      </c>
      <c r="K21" s="13">
        <f t="shared" si="3"/>
        <v>5750</v>
      </c>
      <c r="L21" s="11">
        <v>0</v>
      </c>
      <c r="M21" s="13">
        <f t="shared" si="4"/>
        <v>0</v>
      </c>
    </row>
    <row r="22" spans="1:13">
      <c r="A22" s="7" t="s">
        <v>22</v>
      </c>
      <c r="B22" s="8" t="s">
        <v>13</v>
      </c>
      <c r="C22" s="9">
        <v>19</v>
      </c>
      <c r="D22" s="10"/>
      <c r="E22" s="11"/>
      <c r="F22" s="9">
        <f t="shared" si="0"/>
        <v>0</v>
      </c>
      <c r="G22" s="11">
        <f t="shared" si="1"/>
        <v>0</v>
      </c>
      <c r="H22" s="12">
        <v>474.46</v>
      </c>
      <c r="I22" s="13">
        <f t="shared" si="2"/>
        <v>0</v>
      </c>
      <c r="J22" s="14">
        <v>505</v>
      </c>
      <c r="K22" s="13">
        <f t="shared" si="3"/>
        <v>0</v>
      </c>
      <c r="L22" s="11">
        <v>0</v>
      </c>
      <c r="M22" s="13">
        <f t="shared" si="4"/>
        <v>0</v>
      </c>
    </row>
    <row r="23" spans="1:13">
      <c r="A23" s="7" t="s">
        <v>22</v>
      </c>
      <c r="B23" s="8" t="s">
        <v>27</v>
      </c>
      <c r="C23" s="9">
        <v>24</v>
      </c>
      <c r="D23" s="10">
        <v>119</v>
      </c>
      <c r="E23" s="11"/>
      <c r="F23" s="9">
        <f t="shared" si="0"/>
        <v>0</v>
      </c>
      <c r="G23" s="11">
        <f t="shared" si="1"/>
        <v>119</v>
      </c>
      <c r="H23" s="12">
        <v>593.91999999999996</v>
      </c>
      <c r="I23" s="13">
        <f t="shared" si="2"/>
        <v>70676.479999999996</v>
      </c>
      <c r="J23" s="14">
        <v>630</v>
      </c>
      <c r="K23" s="13">
        <f t="shared" si="3"/>
        <v>74970</v>
      </c>
      <c r="L23" s="11">
        <v>0</v>
      </c>
      <c r="M23" s="13">
        <f t="shared" si="4"/>
        <v>0</v>
      </c>
    </row>
    <row r="24" spans="1:13">
      <c r="A24" s="7" t="s">
        <v>30</v>
      </c>
      <c r="B24" s="8" t="s">
        <v>17</v>
      </c>
      <c r="C24" s="9">
        <v>25</v>
      </c>
      <c r="D24" s="10">
        <v>75</v>
      </c>
      <c r="E24" s="10"/>
      <c r="F24" s="9">
        <f t="shared" si="0"/>
        <v>0</v>
      </c>
      <c r="G24" s="11">
        <f t="shared" si="1"/>
        <v>75</v>
      </c>
      <c r="H24" s="12">
        <v>453.3</v>
      </c>
      <c r="I24" s="13">
        <f t="shared" si="2"/>
        <v>33997.5</v>
      </c>
      <c r="J24" s="14">
        <v>493</v>
      </c>
      <c r="K24" s="13">
        <f t="shared" si="3"/>
        <v>36975</v>
      </c>
      <c r="L24" s="11">
        <v>0</v>
      </c>
      <c r="M24" s="13">
        <f t="shared" si="4"/>
        <v>0</v>
      </c>
    </row>
    <row r="25" spans="1:13">
      <c r="A25" s="7" t="s">
        <v>30</v>
      </c>
      <c r="B25" s="8" t="s">
        <v>18</v>
      </c>
      <c r="C25" s="9">
        <v>25</v>
      </c>
      <c r="D25" s="10">
        <v>20</v>
      </c>
      <c r="E25" s="10"/>
      <c r="F25" s="9">
        <f t="shared" si="0"/>
        <v>0</v>
      </c>
      <c r="G25" s="11">
        <f t="shared" si="1"/>
        <v>20</v>
      </c>
      <c r="H25" s="12">
        <v>453.3</v>
      </c>
      <c r="I25" s="13">
        <f t="shared" si="2"/>
        <v>9066</v>
      </c>
      <c r="J25" s="14">
        <v>493</v>
      </c>
      <c r="K25" s="13">
        <f t="shared" si="3"/>
        <v>9860</v>
      </c>
      <c r="L25" s="11">
        <v>0</v>
      </c>
      <c r="M25" s="13">
        <f t="shared" si="4"/>
        <v>0</v>
      </c>
    </row>
    <row r="26" spans="1:13">
      <c r="A26" s="7" t="s">
        <v>30</v>
      </c>
      <c r="B26" s="8" t="s">
        <v>20</v>
      </c>
      <c r="C26" s="9">
        <v>25</v>
      </c>
      <c r="D26" s="10"/>
      <c r="E26" s="10"/>
      <c r="F26" s="9">
        <f t="shared" si="0"/>
        <v>0</v>
      </c>
      <c r="G26" s="11">
        <f t="shared" si="1"/>
        <v>0</v>
      </c>
      <c r="H26" s="12">
        <v>453.3</v>
      </c>
      <c r="I26" s="13">
        <f t="shared" si="2"/>
        <v>0</v>
      </c>
      <c r="J26" s="14">
        <v>493</v>
      </c>
      <c r="K26" s="13">
        <f t="shared" si="3"/>
        <v>0</v>
      </c>
      <c r="L26" s="11">
        <v>0</v>
      </c>
      <c r="M26" s="13">
        <f t="shared" si="4"/>
        <v>0</v>
      </c>
    </row>
    <row r="27" spans="1:13">
      <c r="A27" s="7" t="s">
        <v>30</v>
      </c>
      <c r="B27" s="8" t="s">
        <v>21</v>
      </c>
      <c r="C27" s="9">
        <v>25</v>
      </c>
      <c r="D27" s="10"/>
      <c r="E27" s="10"/>
      <c r="F27" s="9">
        <f t="shared" si="0"/>
        <v>0</v>
      </c>
      <c r="G27" s="11">
        <f t="shared" si="1"/>
        <v>0</v>
      </c>
      <c r="H27" s="12">
        <v>453.3</v>
      </c>
      <c r="I27" s="13">
        <f t="shared" si="2"/>
        <v>0</v>
      </c>
      <c r="J27" s="14">
        <v>493</v>
      </c>
      <c r="K27" s="13">
        <f t="shared" si="3"/>
        <v>0</v>
      </c>
      <c r="L27" s="11">
        <v>0</v>
      </c>
      <c r="M27" s="13">
        <f t="shared" si="4"/>
        <v>0</v>
      </c>
    </row>
    <row r="28" spans="1:13">
      <c r="A28" s="7" t="s">
        <v>31</v>
      </c>
      <c r="B28" s="7" t="s">
        <v>17</v>
      </c>
      <c r="C28" s="9">
        <v>40</v>
      </c>
      <c r="D28" s="10"/>
      <c r="E28" s="10"/>
      <c r="F28" s="9">
        <f t="shared" si="0"/>
        <v>0</v>
      </c>
      <c r="G28" s="11">
        <f t="shared" si="1"/>
        <v>0</v>
      </c>
      <c r="H28" s="12">
        <v>821.36</v>
      </c>
      <c r="I28" s="13">
        <f t="shared" si="2"/>
        <v>0</v>
      </c>
      <c r="J28" s="14">
        <v>878</v>
      </c>
      <c r="K28" s="13">
        <f t="shared" si="3"/>
        <v>0</v>
      </c>
      <c r="L28" s="11">
        <v>0</v>
      </c>
      <c r="M28" s="13">
        <f t="shared" si="4"/>
        <v>0</v>
      </c>
    </row>
    <row r="29" spans="1:13">
      <c r="A29" s="7" t="s">
        <v>31</v>
      </c>
      <c r="B29" s="7" t="s">
        <v>18</v>
      </c>
      <c r="C29" s="9">
        <v>40</v>
      </c>
      <c r="D29" s="10"/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v>0</v>
      </c>
      <c r="M29" s="13">
        <f t="shared" si="4"/>
        <v>0</v>
      </c>
    </row>
    <row r="30" spans="1:13">
      <c r="A30" s="7" t="s">
        <v>31</v>
      </c>
      <c r="B30" s="7" t="s">
        <v>19</v>
      </c>
      <c r="C30" s="9">
        <v>40</v>
      </c>
      <c r="D30" s="10"/>
      <c r="E30" s="10"/>
      <c r="F30" s="9">
        <f t="shared" si="0"/>
        <v>0</v>
      </c>
      <c r="G30" s="11">
        <f t="shared" si="1"/>
        <v>0</v>
      </c>
      <c r="H30" s="12">
        <v>817.58</v>
      </c>
      <c r="I30" s="13">
        <f t="shared" si="2"/>
        <v>0</v>
      </c>
      <c r="J30" s="14">
        <v>878</v>
      </c>
      <c r="K30" s="13">
        <f t="shared" si="3"/>
        <v>0</v>
      </c>
      <c r="L30" s="11">
        <v>0</v>
      </c>
      <c r="M30" s="13">
        <f t="shared" si="4"/>
        <v>0</v>
      </c>
    </row>
    <row r="31" spans="1:13">
      <c r="A31" s="7" t="s">
        <v>31</v>
      </c>
      <c r="B31" s="7" t="s">
        <v>20</v>
      </c>
      <c r="C31" s="9">
        <v>40</v>
      </c>
      <c r="D31" s="10"/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v>0</v>
      </c>
      <c r="M31" s="13">
        <f t="shared" si="4"/>
        <v>0</v>
      </c>
    </row>
    <row r="32" spans="1:13">
      <c r="A32" s="7" t="s">
        <v>31</v>
      </c>
      <c r="B32" s="7" t="s">
        <v>21</v>
      </c>
      <c r="C32" s="9">
        <v>40</v>
      </c>
      <c r="D32" s="10"/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v>0</v>
      </c>
      <c r="M32" s="13">
        <f t="shared" si="4"/>
        <v>0</v>
      </c>
    </row>
    <row r="33" spans="1:13">
      <c r="A33" s="7" t="s">
        <v>31</v>
      </c>
      <c r="B33" s="7" t="s">
        <v>32</v>
      </c>
      <c r="C33" s="9">
        <v>40</v>
      </c>
      <c r="D33" s="10"/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v>0</v>
      </c>
      <c r="M33" s="13">
        <f t="shared" si="4"/>
        <v>0</v>
      </c>
    </row>
    <row r="34" spans="1:13">
      <c r="A34" s="7" t="s">
        <v>31</v>
      </c>
      <c r="B34" s="7" t="s">
        <v>33</v>
      </c>
      <c r="C34" s="9">
        <v>60</v>
      </c>
      <c r="D34" s="10">
        <v>317</v>
      </c>
      <c r="E34" s="10"/>
      <c r="F34" s="9">
        <f t="shared" si="0"/>
        <v>0</v>
      </c>
      <c r="G34" s="11">
        <f t="shared" si="1"/>
        <v>317</v>
      </c>
      <c r="H34" s="12">
        <v>1042.6500000000001</v>
      </c>
      <c r="I34" s="13">
        <f t="shared" si="2"/>
        <v>330520.05000000005</v>
      </c>
      <c r="J34" s="14">
        <v>1110</v>
      </c>
      <c r="K34" s="13">
        <f t="shared" si="3"/>
        <v>351870</v>
      </c>
      <c r="L34" s="11">
        <v>0</v>
      </c>
      <c r="M34" s="13">
        <f t="shared" si="4"/>
        <v>0</v>
      </c>
    </row>
    <row r="35" spans="1:13">
      <c r="A35" s="7" t="s">
        <v>34</v>
      </c>
      <c r="B35" s="7" t="s">
        <v>35</v>
      </c>
      <c r="C35" s="9">
        <v>7</v>
      </c>
      <c r="D35" s="10">
        <v>11</v>
      </c>
      <c r="E35" s="10"/>
      <c r="F35" s="9">
        <f t="shared" si="0"/>
        <v>0</v>
      </c>
      <c r="G35" s="11">
        <f t="shared" si="1"/>
        <v>11</v>
      </c>
      <c r="H35" s="12">
        <v>126.24</v>
      </c>
      <c r="I35" s="13">
        <f t="shared" si="2"/>
        <v>1388.6399999999999</v>
      </c>
      <c r="J35" s="14">
        <v>140</v>
      </c>
      <c r="K35" s="13">
        <f t="shared" si="3"/>
        <v>1540</v>
      </c>
      <c r="L35" s="11">
        <v>0</v>
      </c>
      <c r="M35" s="13">
        <f t="shared" si="4"/>
        <v>0</v>
      </c>
    </row>
    <row r="36" spans="1:13">
      <c r="A36" s="7" t="s">
        <v>36</v>
      </c>
      <c r="B36" s="7" t="s">
        <v>37</v>
      </c>
      <c r="C36" s="9">
        <v>125</v>
      </c>
      <c r="D36" s="10">
        <v>15</v>
      </c>
      <c r="E36" s="10"/>
      <c r="F36" s="9">
        <f t="shared" si="0"/>
        <v>0</v>
      </c>
      <c r="G36" s="11">
        <f t="shared" si="1"/>
        <v>15</v>
      </c>
      <c r="H36" s="12">
        <v>2050.54</v>
      </c>
      <c r="I36" s="13">
        <f t="shared" si="2"/>
        <v>30758.1</v>
      </c>
      <c r="J36" s="14">
        <v>2175</v>
      </c>
      <c r="K36" s="13">
        <f t="shared" si="3"/>
        <v>32625</v>
      </c>
      <c r="L36" s="11">
        <v>0</v>
      </c>
      <c r="M36" s="13">
        <f t="shared" si="4"/>
        <v>0</v>
      </c>
    </row>
    <row r="37" spans="1:13">
      <c r="A37" s="7" t="s">
        <v>38</v>
      </c>
      <c r="B37" s="7" t="s">
        <v>17</v>
      </c>
      <c r="C37" s="9">
        <v>20</v>
      </c>
      <c r="D37" s="10">
        <v>2</v>
      </c>
      <c r="E37" s="10"/>
      <c r="F37" s="9">
        <f t="shared" si="0"/>
        <v>0</v>
      </c>
      <c r="G37" s="11">
        <f t="shared" si="1"/>
        <v>2</v>
      </c>
      <c r="H37" s="12">
        <v>399.19</v>
      </c>
      <c r="I37" s="13">
        <f t="shared" si="2"/>
        <v>798.38</v>
      </c>
      <c r="J37" s="14">
        <v>420</v>
      </c>
      <c r="K37" s="13">
        <f t="shared" si="3"/>
        <v>840</v>
      </c>
      <c r="L37" s="11">
        <v>0</v>
      </c>
      <c r="M37" s="13">
        <f t="shared" si="4"/>
        <v>0</v>
      </c>
    </row>
    <row r="38" spans="1:13">
      <c r="A38" s="7" t="s">
        <v>38</v>
      </c>
      <c r="B38" s="7" t="s">
        <v>18</v>
      </c>
      <c r="C38" s="9">
        <v>20</v>
      </c>
      <c r="D38" s="10"/>
      <c r="E38" s="10"/>
      <c r="F38" s="9">
        <f t="shared" si="0"/>
        <v>0</v>
      </c>
      <c r="G38" s="11">
        <f t="shared" si="1"/>
        <v>0</v>
      </c>
      <c r="H38" s="12">
        <v>399.19</v>
      </c>
      <c r="I38" s="13">
        <f t="shared" si="2"/>
        <v>0</v>
      </c>
      <c r="J38" s="14">
        <v>420</v>
      </c>
      <c r="K38" s="13">
        <f t="shared" si="3"/>
        <v>0</v>
      </c>
      <c r="L38" s="11">
        <v>0</v>
      </c>
      <c r="M38" s="13">
        <f t="shared" si="4"/>
        <v>0</v>
      </c>
    </row>
    <row r="39" spans="1:13">
      <c r="A39" s="7" t="s">
        <v>38</v>
      </c>
      <c r="B39" s="7" t="s">
        <v>21</v>
      </c>
      <c r="C39" s="9">
        <v>20</v>
      </c>
      <c r="D39" s="10"/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v>0</v>
      </c>
      <c r="M39" s="13">
        <f t="shared" si="4"/>
        <v>0</v>
      </c>
    </row>
    <row r="40" spans="1:13">
      <c r="A40" s="7" t="s">
        <v>39</v>
      </c>
      <c r="B40" s="7" t="s">
        <v>35</v>
      </c>
      <c r="C40" s="9">
        <v>9</v>
      </c>
      <c r="D40" s="10">
        <v>63</v>
      </c>
      <c r="E40" s="10"/>
      <c r="F40" s="9">
        <f t="shared" si="0"/>
        <v>0</v>
      </c>
      <c r="G40" s="11">
        <f t="shared" si="1"/>
        <v>63</v>
      </c>
      <c r="H40" s="12">
        <v>174.19</v>
      </c>
      <c r="I40" s="13">
        <f t="shared" si="2"/>
        <v>10973.97</v>
      </c>
      <c r="J40" s="14">
        <v>185</v>
      </c>
      <c r="K40" s="13">
        <f t="shared" si="3"/>
        <v>11655</v>
      </c>
      <c r="L40" s="11">
        <v>0</v>
      </c>
      <c r="M40" s="13">
        <f t="shared" si="4"/>
        <v>0</v>
      </c>
    </row>
    <row r="41" spans="1:13">
      <c r="A41" s="7" t="s">
        <v>40</v>
      </c>
      <c r="B41" s="7" t="s">
        <v>13</v>
      </c>
      <c r="C41" s="9">
        <v>35</v>
      </c>
      <c r="D41" s="10">
        <v>18</v>
      </c>
      <c r="E41" s="10"/>
      <c r="F41" s="9">
        <f t="shared" si="0"/>
        <v>0</v>
      </c>
      <c r="G41" s="11">
        <f t="shared" si="1"/>
        <v>18</v>
      </c>
      <c r="H41" s="12">
        <v>748.13</v>
      </c>
      <c r="I41" s="13">
        <f t="shared" si="2"/>
        <v>13466.34</v>
      </c>
      <c r="J41" s="14">
        <v>795</v>
      </c>
      <c r="K41" s="13">
        <f t="shared" si="3"/>
        <v>14310</v>
      </c>
      <c r="L41" s="11">
        <v>0</v>
      </c>
      <c r="M41" s="13">
        <f t="shared" si="4"/>
        <v>0</v>
      </c>
    </row>
    <row r="42" spans="1:13">
      <c r="A42" s="7" t="s">
        <v>41</v>
      </c>
      <c r="B42" s="7" t="s">
        <v>17</v>
      </c>
      <c r="C42" s="9">
        <v>40</v>
      </c>
      <c r="D42" s="10">
        <v>45</v>
      </c>
      <c r="E42" s="10"/>
      <c r="F42" s="9">
        <f t="shared" si="0"/>
        <v>0</v>
      </c>
      <c r="G42" s="11">
        <f t="shared" si="1"/>
        <v>45</v>
      </c>
      <c r="H42" s="12">
        <v>842.86</v>
      </c>
      <c r="I42" s="13">
        <f t="shared" si="2"/>
        <v>37928.699999999997</v>
      </c>
      <c r="J42" s="14">
        <v>900</v>
      </c>
      <c r="K42" s="13">
        <f t="shared" si="3"/>
        <v>40500</v>
      </c>
      <c r="L42" s="11">
        <v>0</v>
      </c>
      <c r="M42" s="13">
        <f t="shared" si="4"/>
        <v>0</v>
      </c>
    </row>
    <row r="43" spans="1:13">
      <c r="A43" s="7" t="s">
        <v>41</v>
      </c>
      <c r="B43" s="7" t="s">
        <v>18</v>
      </c>
      <c r="C43" s="9">
        <v>40</v>
      </c>
      <c r="D43" s="10">
        <v>17</v>
      </c>
      <c r="E43" s="10"/>
      <c r="F43" s="9">
        <f t="shared" si="0"/>
        <v>0</v>
      </c>
      <c r="G43" s="11">
        <f t="shared" si="1"/>
        <v>17</v>
      </c>
      <c r="H43" s="12">
        <v>842.86</v>
      </c>
      <c r="I43" s="13">
        <f t="shared" si="2"/>
        <v>14328.62</v>
      </c>
      <c r="J43" s="14">
        <v>900</v>
      </c>
      <c r="K43" s="13">
        <f t="shared" si="3"/>
        <v>15300</v>
      </c>
      <c r="L43" s="11">
        <v>0</v>
      </c>
      <c r="M43" s="13">
        <f t="shared" si="4"/>
        <v>0</v>
      </c>
    </row>
    <row r="44" spans="1:13">
      <c r="A44" s="7" t="s">
        <v>41</v>
      </c>
      <c r="B44" s="7" t="s">
        <v>19</v>
      </c>
      <c r="C44" s="9">
        <v>40</v>
      </c>
      <c r="D44" s="10"/>
      <c r="E44" s="10"/>
      <c r="F44" s="9">
        <f t="shared" si="0"/>
        <v>0</v>
      </c>
      <c r="G44" s="11">
        <f t="shared" si="1"/>
        <v>0</v>
      </c>
      <c r="H44" s="12">
        <v>839.68</v>
      </c>
      <c r="I44" s="13">
        <f t="shared" si="2"/>
        <v>0</v>
      </c>
      <c r="J44" s="14">
        <v>900</v>
      </c>
      <c r="K44" s="13">
        <f t="shared" si="3"/>
        <v>0</v>
      </c>
      <c r="L44" s="11">
        <v>0</v>
      </c>
      <c r="M44" s="13">
        <f t="shared" si="4"/>
        <v>0</v>
      </c>
    </row>
    <row r="45" spans="1:13">
      <c r="A45" s="7" t="s">
        <v>41</v>
      </c>
      <c r="B45" s="7" t="s">
        <v>20</v>
      </c>
      <c r="C45" s="9">
        <v>40</v>
      </c>
      <c r="D45" s="10"/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v>0</v>
      </c>
      <c r="M45" s="13">
        <f t="shared" si="4"/>
        <v>0</v>
      </c>
    </row>
    <row r="46" spans="1:13">
      <c r="A46" s="7" t="s">
        <v>41</v>
      </c>
      <c r="B46" s="7" t="s">
        <v>21</v>
      </c>
      <c r="C46" s="9">
        <v>40</v>
      </c>
      <c r="D46" s="10"/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v>0</v>
      </c>
      <c r="M46" s="13">
        <f t="shared" si="4"/>
        <v>0</v>
      </c>
    </row>
    <row r="47" spans="1:13">
      <c r="A47" s="7" t="s">
        <v>42</v>
      </c>
      <c r="B47" s="7" t="s">
        <v>29</v>
      </c>
      <c r="C47" s="9">
        <v>18</v>
      </c>
      <c r="D47" s="10">
        <v>25</v>
      </c>
      <c r="E47" s="10"/>
      <c r="F47" s="9">
        <f t="shared" si="0"/>
        <v>0</v>
      </c>
      <c r="G47" s="11">
        <f t="shared" si="1"/>
        <v>25</v>
      </c>
      <c r="H47" s="12">
        <v>375.68</v>
      </c>
      <c r="I47" s="13">
        <f t="shared" si="2"/>
        <v>9392</v>
      </c>
      <c r="J47" s="14">
        <v>400</v>
      </c>
      <c r="K47" s="13">
        <f t="shared" si="3"/>
        <v>10000</v>
      </c>
      <c r="L47" s="11">
        <v>0</v>
      </c>
      <c r="M47" s="13">
        <f t="shared" si="4"/>
        <v>0</v>
      </c>
    </row>
    <row r="48" spans="1:13">
      <c r="A48" s="7" t="s">
        <v>54</v>
      </c>
      <c r="B48" s="7" t="s">
        <v>44</v>
      </c>
      <c r="C48" s="9">
        <v>50</v>
      </c>
      <c r="D48" s="11">
        <v>14</v>
      </c>
      <c r="E48" s="11"/>
      <c r="F48" s="9">
        <f t="shared" si="0"/>
        <v>0</v>
      </c>
      <c r="G48" s="11">
        <f t="shared" si="1"/>
        <v>14</v>
      </c>
      <c r="H48" s="12">
        <v>670.32</v>
      </c>
      <c r="I48" s="13">
        <f t="shared" si="2"/>
        <v>9384.4800000000014</v>
      </c>
      <c r="J48" s="14">
        <v>710</v>
      </c>
      <c r="K48" s="13">
        <f t="shared" si="3"/>
        <v>9940</v>
      </c>
      <c r="L48" s="11">
        <v>0</v>
      </c>
      <c r="M48" s="13">
        <f t="shared" si="4"/>
        <v>0</v>
      </c>
    </row>
    <row r="49" spans="1:13">
      <c r="A49" s="7" t="s">
        <v>43</v>
      </c>
      <c r="B49" s="7" t="s">
        <v>17</v>
      </c>
      <c r="C49" s="9">
        <v>50</v>
      </c>
      <c r="D49" s="10">
        <v>142</v>
      </c>
      <c r="E49" s="10"/>
      <c r="F49" s="9">
        <f t="shared" si="0"/>
        <v>0</v>
      </c>
      <c r="G49" s="11">
        <f t="shared" si="1"/>
        <v>142</v>
      </c>
      <c r="H49" s="12">
        <v>661.22</v>
      </c>
      <c r="I49" s="13">
        <f t="shared" si="2"/>
        <v>93893.24</v>
      </c>
      <c r="J49" s="14">
        <v>710</v>
      </c>
      <c r="K49" s="13">
        <f t="shared" si="3"/>
        <v>100820</v>
      </c>
      <c r="L49" s="11">
        <v>0</v>
      </c>
      <c r="M49" s="13">
        <f t="shared" si="4"/>
        <v>0</v>
      </c>
    </row>
    <row r="50" spans="1:13">
      <c r="A50" s="7" t="s">
        <v>43</v>
      </c>
      <c r="B50" s="7" t="s">
        <v>18</v>
      </c>
      <c r="C50" s="9">
        <v>50</v>
      </c>
      <c r="D50" s="10">
        <v>11</v>
      </c>
      <c r="E50" s="10"/>
      <c r="F50" s="9">
        <f t="shared" si="0"/>
        <v>0</v>
      </c>
      <c r="G50" s="11">
        <f t="shared" si="1"/>
        <v>11</v>
      </c>
      <c r="H50" s="12">
        <v>661.22</v>
      </c>
      <c r="I50" s="13">
        <f t="shared" si="2"/>
        <v>7273.42</v>
      </c>
      <c r="J50" s="14">
        <v>710</v>
      </c>
      <c r="K50" s="13">
        <f t="shared" si="3"/>
        <v>7810</v>
      </c>
      <c r="L50" s="11">
        <v>0</v>
      </c>
      <c r="M50" s="13">
        <f t="shared" si="4"/>
        <v>0</v>
      </c>
    </row>
    <row r="51" spans="1:13">
      <c r="A51" s="7" t="s">
        <v>43</v>
      </c>
      <c r="B51" s="7" t="s">
        <v>19</v>
      </c>
      <c r="C51" s="9">
        <v>50</v>
      </c>
      <c r="D51" s="10"/>
      <c r="E51" s="10"/>
      <c r="F51" s="9">
        <f t="shared" si="0"/>
        <v>0</v>
      </c>
      <c r="G51" s="11">
        <f t="shared" si="1"/>
        <v>0</v>
      </c>
      <c r="H51" s="12">
        <v>661.22</v>
      </c>
      <c r="I51" s="13">
        <f t="shared" si="2"/>
        <v>0</v>
      </c>
      <c r="J51" s="14">
        <v>710</v>
      </c>
      <c r="K51" s="13">
        <f t="shared" si="3"/>
        <v>0</v>
      </c>
      <c r="L51" s="11">
        <v>0</v>
      </c>
      <c r="M51" s="13">
        <f t="shared" si="4"/>
        <v>0</v>
      </c>
    </row>
    <row r="52" spans="1:13">
      <c r="A52" s="7" t="s">
        <v>43</v>
      </c>
      <c r="B52" s="7" t="s">
        <v>20</v>
      </c>
      <c r="C52" s="9">
        <v>50</v>
      </c>
      <c r="D52" s="10"/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v>0</v>
      </c>
      <c r="M52" s="13">
        <f t="shared" si="4"/>
        <v>0</v>
      </c>
    </row>
    <row r="53" spans="1:13">
      <c r="A53" s="7" t="s">
        <v>43</v>
      </c>
      <c r="B53" s="7" t="s">
        <v>21</v>
      </c>
      <c r="C53" s="9">
        <v>50</v>
      </c>
      <c r="D53" s="10"/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v>0</v>
      </c>
      <c r="M53" s="13">
        <f t="shared" si="4"/>
        <v>0</v>
      </c>
    </row>
    <row r="54" spans="1:13">
      <c r="A54" s="7" t="s">
        <v>43</v>
      </c>
      <c r="B54" s="7" t="s">
        <v>44</v>
      </c>
      <c r="C54" s="9">
        <v>85</v>
      </c>
      <c r="D54" s="10">
        <v>3</v>
      </c>
      <c r="E54" s="10"/>
      <c r="F54" s="9">
        <f t="shared" si="0"/>
        <v>0</v>
      </c>
      <c r="G54" s="11">
        <f t="shared" si="1"/>
        <v>3</v>
      </c>
      <c r="H54" s="12">
        <v>797.07</v>
      </c>
      <c r="I54" s="13">
        <f t="shared" si="2"/>
        <v>2391.21</v>
      </c>
      <c r="J54" s="14">
        <v>845</v>
      </c>
      <c r="K54" s="13">
        <f t="shared" si="3"/>
        <v>2535</v>
      </c>
      <c r="L54" s="11">
        <v>0</v>
      </c>
      <c r="M54" s="13">
        <f t="shared" si="4"/>
        <v>0</v>
      </c>
    </row>
    <row r="55" spans="1:13">
      <c r="A55" s="7" t="s">
        <v>45</v>
      </c>
      <c r="B55" s="7" t="s">
        <v>35</v>
      </c>
      <c r="C55" s="9">
        <v>18</v>
      </c>
      <c r="D55" s="10">
        <v>1061</v>
      </c>
      <c r="E55" s="10"/>
      <c r="F55" s="9">
        <f t="shared" si="0"/>
        <v>0</v>
      </c>
      <c r="G55" s="11">
        <f t="shared" si="1"/>
        <v>1061</v>
      </c>
      <c r="H55" s="12">
        <v>160.77000000000001</v>
      </c>
      <c r="I55" s="13">
        <f t="shared" si="2"/>
        <v>170576.97</v>
      </c>
      <c r="J55" s="14">
        <v>175</v>
      </c>
      <c r="K55" s="13">
        <f t="shared" si="3"/>
        <v>185675</v>
      </c>
      <c r="L55" s="11">
        <v>0</v>
      </c>
      <c r="M55" s="13">
        <f t="shared" si="4"/>
        <v>0</v>
      </c>
    </row>
    <row r="56" spans="1:13">
      <c r="A56" s="7" t="s">
        <v>46</v>
      </c>
      <c r="B56" s="7" t="s">
        <v>13</v>
      </c>
      <c r="C56" s="9">
        <v>70</v>
      </c>
      <c r="D56" s="10">
        <v>18</v>
      </c>
      <c r="E56" s="10"/>
      <c r="F56" s="9">
        <f t="shared" si="0"/>
        <v>0</v>
      </c>
      <c r="G56" s="11">
        <f t="shared" si="1"/>
        <v>18</v>
      </c>
      <c r="H56" s="12">
        <v>744.99</v>
      </c>
      <c r="I56" s="13">
        <f t="shared" si="2"/>
        <v>13409.82</v>
      </c>
      <c r="J56" s="14">
        <v>790</v>
      </c>
      <c r="K56" s="13">
        <f t="shared" si="3"/>
        <v>14220</v>
      </c>
      <c r="L56" s="11">
        <v>0</v>
      </c>
      <c r="M56" s="13">
        <f t="shared" si="4"/>
        <v>0</v>
      </c>
    </row>
    <row r="57" spans="1:13">
      <c r="A57" s="7" t="s">
        <v>47</v>
      </c>
      <c r="B57" s="7" t="s">
        <v>29</v>
      </c>
      <c r="C57" s="9">
        <v>30</v>
      </c>
      <c r="D57" s="10"/>
      <c r="E57" s="10"/>
      <c r="F57" s="9">
        <f t="shared" si="0"/>
        <v>0</v>
      </c>
      <c r="G57" s="11">
        <f t="shared" si="1"/>
        <v>0</v>
      </c>
      <c r="H57" s="12">
        <v>316.14999999999998</v>
      </c>
      <c r="I57" s="13">
        <f t="shared" si="2"/>
        <v>0</v>
      </c>
      <c r="J57" s="14">
        <v>336</v>
      </c>
      <c r="K57" s="13">
        <f t="shared" si="3"/>
        <v>0</v>
      </c>
      <c r="L57" s="11">
        <v>0</v>
      </c>
      <c r="M57" s="13">
        <f t="shared" si="4"/>
        <v>0</v>
      </c>
    </row>
    <row r="58" spans="1:13">
      <c r="A58" s="7" t="s">
        <v>48</v>
      </c>
      <c r="B58" s="7" t="s">
        <v>13</v>
      </c>
      <c r="C58" s="9">
        <v>95</v>
      </c>
      <c r="D58" s="10">
        <v>1</v>
      </c>
      <c r="E58" s="10"/>
      <c r="F58" s="9">
        <f t="shared" si="0"/>
        <v>0</v>
      </c>
      <c r="G58" s="11">
        <f t="shared" si="1"/>
        <v>1</v>
      </c>
      <c r="H58" s="12">
        <v>1042.9000000000001</v>
      </c>
      <c r="I58" s="13">
        <f t="shared" si="2"/>
        <v>1042.9000000000001</v>
      </c>
      <c r="J58" s="14">
        <v>1105</v>
      </c>
      <c r="K58" s="13">
        <f t="shared" si="3"/>
        <v>1105</v>
      </c>
      <c r="L58" s="11">
        <v>0</v>
      </c>
      <c r="M58" s="13">
        <f t="shared" si="4"/>
        <v>0</v>
      </c>
    </row>
    <row r="59" spans="1:13">
      <c r="A59" s="7" t="s">
        <v>49</v>
      </c>
      <c r="B59" s="7" t="s">
        <v>35</v>
      </c>
      <c r="C59" s="9">
        <v>28</v>
      </c>
      <c r="D59" s="10">
        <v>15</v>
      </c>
      <c r="E59" s="10"/>
      <c r="F59" s="9">
        <f t="shared" si="0"/>
        <v>0</v>
      </c>
      <c r="G59" s="11">
        <f t="shared" si="1"/>
        <v>15</v>
      </c>
      <c r="H59" s="12">
        <v>165.06</v>
      </c>
      <c r="I59" s="13">
        <f t="shared" si="2"/>
        <v>2475.9</v>
      </c>
      <c r="J59" s="14">
        <v>180</v>
      </c>
      <c r="K59" s="13">
        <f t="shared" si="3"/>
        <v>2700</v>
      </c>
      <c r="L59" s="11">
        <v>0</v>
      </c>
      <c r="M59" s="13">
        <f t="shared" si="4"/>
        <v>0</v>
      </c>
    </row>
    <row r="60" spans="1:13">
      <c r="A60" s="7" t="s">
        <v>50</v>
      </c>
      <c r="B60" s="7" t="s">
        <v>17</v>
      </c>
      <c r="C60" s="9">
        <v>70</v>
      </c>
      <c r="D60" s="10"/>
      <c r="E60" s="10"/>
      <c r="F60" s="9">
        <f t="shared" si="0"/>
        <v>0</v>
      </c>
      <c r="G60" s="11">
        <f t="shared" si="1"/>
        <v>0</v>
      </c>
      <c r="H60" s="12">
        <v>721.25</v>
      </c>
      <c r="I60" s="13">
        <f t="shared" si="2"/>
        <v>0</v>
      </c>
      <c r="J60" s="14">
        <v>771</v>
      </c>
      <c r="K60" s="13">
        <f t="shared" si="3"/>
        <v>0</v>
      </c>
      <c r="L60" s="11">
        <v>0</v>
      </c>
      <c r="M60" s="13">
        <f t="shared" si="4"/>
        <v>0</v>
      </c>
    </row>
    <row r="61" spans="1:13">
      <c r="A61" s="7" t="s">
        <v>50</v>
      </c>
      <c r="B61" s="7" t="s">
        <v>18</v>
      </c>
      <c r="C61" s="9">
        <v>70</v>
      </c>
      <c r="D61" s="10"/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v>0</v>
      </c>
      <c r="M61" s="13">
        <f t="shared" si="4"/>
        <v>0</v>
      </c>
    </row>
    <row r="62" spans="1:13">
      <c r="A62" s="7" t="s">
        <v>51</v>
      </c>
      <c r="B62" s="7" t="s">
        <v>17</v>
      </c>
      <c r="C62" s="9">
        <v>100</v>
      </c>
      <c r="D62" s="10">
        <v>115</v>
      </c>
      <c r="E62" s="10"/>
      <c r="F62" s="9">
        <f t="shared" si="0"/>
        <v>0</v>
      </c>
      <c r="G62" s="11">
        <f t="shared" si="1"/>
        <v>115</v>
      </c>
      <c r="H62" s="12">
        <v>790.89</v>
      </c>
      <c r="I62" s="13">
        <f t="shared" si="2"/>
        <v>90952.349999999991</v>
      </c>
      <c r="J62" s="14">
        <v>845</v>
      </c>
      <c r="K62" s="13">
        <f t="shared" si="3"/>
        <v>97175</v>
      </c>
      <c r="L62" s="11">
        <v>0</v>
      </c>
      <c r="M62" s="13">
        <f t="shared" si="4"/>
        <v>0</v>
      </c>
    </row>
    <row r="63" spans="1:13">
      <c r="A63" s="7" t="s">
        <v>51</v>
      </c>
      <c r="B63" s="7" t="s">
        <v>18</v>
      </c>
      <c r="C63" s="9">
        <v>100</v>
      </c>
      <c r="D63" s="10">
        <v>2</v>
      </c>
      <c r="E63" s="10"/>
      <c r="F63" s="9">
        <f t="shared" si="0"/>
        <v>0</v>
      </c>
      <c r="G63" s="11">
        <f t="shared" si="1"/>
        <v>2</v>
      </c>
      <c r="H63" s="12">
        <v>790.89</v>
      </c>
      <c r="I63" s="13">
        <f t="shared" si="2"/>
        <v>1581.78</v>
      </c>
      <c r="J63" s="14">
        <v>845</v>
      </c>
      <c r="K63" s="13">
        <f t="shared" si="3"/>
        <v>1690</v>
      </c>
      <c r="L63" s="11">
        <v>0</v>
      </c>
      <c r="M63" s="13">
        <f t="shared" si="4"/>
        <v>0</v>
      </c>
    </row>
    <row r="64" spans="1:13">
      <c r="A64" s="7" t="s">
        <v>51</v>
      </c>
      <c r="B64" s="7" t="s">
        <v>19</v>
      </c>
      <c r="C64" s="9">
        <v>100</v>
      </c>
      <c r="D64" s="10"/>
      <c r="E64" s="10"/>
      <c r="F64" s="9">
        <f t="shared" si="0"/>
        <v>0</v>
      </c>
      <c r="G64" s="11">
        <f t="shared" si="1"/>
        <v>0</v>
      </c>
      <c r="H64" s="12">
        <v>790.89</v>
      </c>
      <c r="I64" s="13">
        <f t="shared" si="2"/>
        <v>0</v>
      </c>
      <c r="J64" s="14">
        <v>845</v>
      </c>
      <c r="K64" s="13">
        <f t="shared" si="3"/>
        <v>0</v>
      </c>
      <c r="L64" s="11">
        <v>0</v>
      </c>
      <c r="M64" s="13">
        <f t="shared" si="4"/>
        <v>0</v>
      </c>
    </row>
    <row r="65" spans="1:13">
      <c r="A65" s="7" t="s">
        <v>51</v>
      </c>
      <c r="B65" s="7" t="s">
        <v>20</v>
      </c>
      <c r="C65" s="9">
        <v>100</v>
      </c>
      <c r="D65" s="10"/>
      <c r="E65" s="11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v>0</v>
      </c>
      <c r="M65" s="13">
        <f t="shared" si="4"/>
        <v>0</v>
      </c>
    </row>
    <row r="66" spans="1:13">
      <c r="A66" s="7" t="s">
        <v>51</v>
      </c>
      <c r="B66" s="7" t="s">
        <v>21</v>
      </c>
      <c r="C66" s="9">
        <v>100</v>
      </c>
      <c r="D66" s="10"/>
      <c r="E66" s="11"/>
      <c r="F66" s="15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v>0</v>
      </c>
      <c r="M66" s="13">
        <f t="shared" si="4"/>
        <v>0</v>
      </c>
    </row>
    <row r="67" spans="1:13">
      <c r="A67" s="35" t="s">
        <v>52</v>
      </c>
      <c r="B67" s="36"/>
      <c r="C67" s="37"/>
      <c r="D67" s="16">
        <f>SUM(D2:D66)</f>
        <v>4004</v>
      </c>
      <c r="E67" s="17">
        <f>SUM(E2:E66)</f>
        <v>0</v>
      </c>
      <c r="F67" s="18">
        <f>SUM(F2:F66)</f>
        <v>0</v>
      </c>
      <c r="G67" s="17">
        <f>SUM(G2:G66)</f>
        <v>4004</v>
      </c>
      <c r="H67" s="19"/>
      <c r="I67" s="20">
        <f>SUM(I2:I66)</f>
        <v>1544962.67</v>
      </c>
      <c r="J67" s="21">
        <f>SUM(J2:J66)</f>
        <v>39088</v>
      </c>
      <c r="K67" s="22">
        <f>SUM(K2:K66)</f>
        <v>1653554</v>
      </c>
      <c r="L67" s="23">
        <f>SUM(L2:L66)</f>
        <v>0</v>
      </c>
      <c r="M67" s="24">
        <f>SUM(M2:M66)</f>
        <v>0</v>
      </c>
    </row>
    <row r="70" spans="1:13">
      <c r="F70" s="31"/>
    </row>
    <row r="73" spans="1:13">
      <c r="I73" s="33"/>
      <c r="J73" s="32"/>
      <c r="K73" s="33"/>
    </row>
    <row r="74" spans="1:13">
      <c r="I74" s="33"/>
      <c r="J74" s="32"/>
      <c r="K74" s="33"/>
    </row>
    <row r="75" spans="1:13">
      <c r="I75" s="33"/>
      <c r="J75" s="29"/>
      <c r="K75" s="30"/>
    </row>
    <row r="76" spans="1:13">
      <c r="D76" s="25" t="s">
        <v>53</v>
      </c>
      <c r="I76" s="33"/>
      <c r="J76" s="34"/>
      <c r="K76" s="34"/>
    </row>
    <row r="77" spans="1:13">
      <c r="I77" s="33"/>
      <c r="J77" s="32"/>
      <c r="K77" s="33"/>
    </row>
    <row r="78" spans="1:13">
      <c r="F78" s="26"/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</row>
  </sheetData>
  <mergeCells count="1">
    <mergeCell ref="A67:C6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80"/>
  <sheetViews>
    <sheetView topLeftCell="A2" workbookViewId="0">
      <selection activeCell="D13" sqref="D13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398</v>
      </c>
      <c r="E2" s="11"/>
      <c r="F2" s="9">
        <f>E2*H2</f>
        <v>0</v>
      </c>
      <c r="G2" s="11">
        <f>D2+E2</f>
        <v>398</v>
      </c>
      <c r="H2" s="12">
        <v>308.13</v>
      </c>
      <c r="I2" s="13">
        <f>H2*D2</f>
        <v>122635.74</v>
      </c>
      <c r="J2" s="14">
        <v>326</v>
      </c>
      <c r="K2" s="13">
        <f>J2*D2</f>
        <v>129748</v>
      </c>
      <c r="L2" s="11">
        <f>G2-'13'!D2</f>
        <v>12</v>
      </c>
      <c r="M2" s="13">
        <f>L2*J2</f>
        <v>3912</v>
      </c>
    </row>
    <row r="3" spans="1:13">
      <c r="A3" s="7" t="s">
        <v>12</v>
      </c>
      <c r="B3" s="8" t="s">
        <v>14</v>
      </c>
      <c r="C3" s="9">
        <v>9</v>
      </c>
      <c r="D3" s="10">
        <v>92</v>
      </c>
      <c r="E3" s="11"/>
      <c r="F3" s="9">
        <f t="shared" ref="F3:F66" si="0">E3*H3</f>
        <v>0</v>
      </c>
      <c r="G3" s="11">
        <f t="shared" ref="G3:G66" si="1">D3+E3</f>
        <v>92</v>
      </c>
      <c r="H3" s="12">
        <v>308.19</v>
      </c>
      <c r="I3" s="13">
        <f t="shared" ref="I3:I66" si="2">H3*D3</f>
        <v>28353.48</v>
      </c>
      <c r="J3" s="14">
        <v>326</v>
      </c>
      <c r="K3" s="13">
        <f t="shared" ref="K3:K66" si="3">J3*D3</f>
        <v>29992</v>
      </c>
      <c r="L3" s="11">
        <f>G3-'13'!D3</f>
        <v>0</v>
      </c>
      <c r="M3" s="13">
        <f t="shared" ref="M3:M66" si="4">L3*J3</f>
        <v>0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f>G4-'13'!D4</f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246</v>
      </c>
      <c r="E5" s="11"/>
      <c r="F5" s="9">
        <f t="shared" si="0"/>
        <v>0</v>
      </c>
      <c r="G5" s="11">
        <f t="shared" si="1"/>
        <v>246</v>
      </c>
      <c r="H5" s="12">
        <v>174.77</v>
      </c>
      <c r="I5" s="13">
        <f t="shared" si="2"/>
        <v>42993.420000000006</v>
      </c>
      <c r="J5" s="14">
        <v>192</v>
      </c>
      <c r="K5" s="13">
        <f t="shared" si="3"/>
        <v>47232</v>
      </c>
      <c r="L5" s="11">
        <f>G5-'13'!D5</f>
        <v>19</v>
      </c>
      <c r="M5" s="13">
        <f t="shared" si="4"/>
        <v>3648</v>
      </c>
    </row>
    <row r="6" spans="1:13">
      <c r="A6" s="7" t="s">
        <v>16</v>
      </c>
      <c r="B6" s="8" t="s">
        <v>18</v>
      </c>
      <c r="C6" s="9">
        <v>10</v>
      </c>
      <c r="D6" s="10">
        <v>214</v>
      </c>
      <c r="E6" s="11"/>
      <c r="F6" s="9">
        <f t="shared" si="0"/>
        <v>0</v>
      </c>
      <c r="G6" s="11">
        <f t="shared" si="1"/>
        <v>214</v>
      </c>
      <c r="H6" s="12">
        <v>174.77</v>
      </c>
      <c r="I6" s="13">
        <f t="shared" si="2"/>
        <v>37400.78</v>
      </c>
      <c r="J6" s="14">
        <v>192</v>
      </c>
      <c r="K6" s="13">
        <f t="shared" si="3"/>
        <v>41088</v>
      </c>
      <c r="L6" s="11">
        <f>G6-'13'!D6</f>
        <v>13</v>
      </c>
      <c r="M6" s="13">
        <f t="shared" si="4"/>
        <v>2496</v>
      </c>
    </row>
    <row r="7" spans="1:13">
      <c r="A7" s="7" t="s">
        <v>16</v>
      </c>
      <c r="B7" s="8" t="s">
        <v>19</v>
      </c>
      <c r="C7" s="9">
        <v>10</v>
      </c>
      <c r="D7" s="10">
        <v>43</v>
      </c>
      <c r="E7" s="11"/>
      <c r="F7" s="9">
        <f t="shared" si="0"/>
        <v>0</v>
      </c>
      <c r="G7" s="11">
        <f t="shared" si="1"/>
        <v>43</v>
      </c>
      <c r="H7" s="12">
        <v>174.77</v>
      </c>
      <c r="I7" s="13">
        <f t="shared" si="2"/>
        <v>7515.1100000000006</v>
      </c>
      <c r="J7" s="14">
        <v>192</v>
      </c>
      <c r="K7" s="13">
        <f t="shared" si="3"/>
        <v>8256</v>
      </c>
      <c r="L7" s="11">
        <f>G7-'13'!D7</f>
        <v>3</v>
      </c>
      <c r="M7" s="13">
        <f t="shared" si="4"/>
        <v>576</v>
      </c>
    </row>
    <row r="8" spans="1:13">
      <c r="A8" s="7" t="s">
        <v>16</v>
      </c>
      <c r="B8" s="8" t="s">
        <v>20</v>
      </c>
      <c r="C8" s="9">
        <v>10</v>
      </c>
      <c r="D8" s="10">
        <v>45</v>
      </c>
      <c r="E8" s="11"/>
      <c r="F8" s="9">
        <f t="shared" si="0"/>
        <v>0</v>
      </c>
      <c r="G8" s="11">
        <f t="shared" si="1"/>
        <v>45</v>
      </c>
      <c r="H8" s="12">
        <v>174.77</v>
      </c>
      <c r="I8" s="13">
        <f t="shared" si="2"/>
        <v>7864.6500000000005</v>
      </c>
      <c r="J8" s="14">
        <v>192</v>
      </c>
      <c r="K8" s="13">
        <f t="shared" si="3"/>
        <v>8640</v>
      </c>
      <c r="L8" s="11">
        <f>G8-'13'!D8</f>
        <v>1</v>
      </c>
      <c r="M8" s="13">
        <f t="shared" si="4"/>
        <v>192</v>
      </c>
    </row>
    <row r="9" spans="1:13">
      <c r="A9" s="7" t="s">
        <v>16</v>
      </c>
      <c r="B9" s="8" t="s">
        <v>21</v>
      </c>
      <c r="C9" s="9">
        <v>10</v>
      </c>
      <c r="D9" s="10">
        <v>149</v>
      </c>
      <c r="E9" s="11"/>
      <c r="F9" s="9">
        <f t="shared" si="0"/>
        <v>0</v>
      </c>
      <c r="G9" s="11">
        <f t="shared" si="1"/>
        <v>149</v>
      </c>
      <c r="H9" s="12">
        <v>174.77</v>
      </c>
      <c r="I9" s="13">
        <f t="shared" si="2"/>
        <v>26040.730000000003</v>
      </c>
      <c r="J9" s="14">
        <v>192</v>
      </c>
      <c r="K9" s="13">
        <f t="shared" si="3"/>
        <v>28608</v>
      </c>
      <c r="L9" s="11">
        <f>G9-'13'!D9</f>
        <v>8</v>
      </c>
      <c r="M9" s="13">
        <f t="shared" si="4"/>
        <v>1536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f>G10-'13'!D10</f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22</v>
      </c>
      <c r="E11" s="11"/>
      <c r="F11" s="9">
        <f t="shared" si="0"/>
        <v>0</v>
      </c>
      <c r="G11" s="11">
        <f t="shared" si="1"/>
        <v>22</v>
      </c>
      <c r="H11" s="12">
        <v>470.8</v>
      </c>
      <c r="I11" s="13">
        <f t="shared" si="2"/>
        <v>10357.6</v>
      </c>
      <c r="J11" s="14">
        <v>505</v>
      </c>
      <c r="K11" s="13">
        <f t="shared" si="3"/>
        <v>11110</v>
      </c>
      <c r="L11" s="11">
        <f>G11-'13'!D11</f>
        <v>2</v>
      </c>
      <c r="M11" s="13">
        <f t="shared" si="4"/>
        <v>1010</v>
      </c>
    </row>
    <row r="12" spans="1:13">
      <c r="A12" s="7" t="s">
        <v>22</v>
      </c>
      <c r="B12" s="8" t="s">
        <v>17</v>
      </c>
      <c r="C12" s="9">
        <v>20</v>
      </c>
      <c r="D12" s="10">
        <v>350</v>
      </c>
      <c r="E12" s="11"/>
      <c r="F12" s="9">
        <f>E12*H12</f>
        <v>0</v>
      </c>
      <c r="G12" s="11">
        <f t="shared" si="1"/>
        <v>350</v>
      </c>
      <c r="H12" s="12">
        <v>475.77</v>
      </c>
      <c r="I12" s="13">
        <f t="shared" si="2"/>
        <v>166519.5</v>
      </c>
      <c r="J12" s="14">
        <v>505</v>
      </c>
      <c r="K12" s="13">
        <f t="shared" si="3"/>
        <v>176750</v>
      </c>
      <c r="L12" s="11">
        <f>G12-'13'!D12</f>
        <v>70</v>
      </c>
      <c r="M12" s="13">
        <f t="shared" si="4"/>
        <v>35350</v>
      </c>
    </row>
    <row r="13" spans="1:13">
      <c r="A13" s="7" t="s">
        <v>22</v>
      </c>
      <c r="B13" s="8" t="s">
        <v>18</v>
      </c>
      <c r="C13" s="9">
        <v>20</v>
      </c>
      <c r="D13" s="10">
        <v>227</v>
      </c>
      <c r="E13" s="11"/>
      <c r="F13" s="9">
        <f t="shared" si="0"/>
        <v>0</v>
      </c>
      <c r="G13" s="11">
        <f t="shared" si="1"/>
        <v>227</v>
      </c>
      <c r="H13" s="12">
        <v>475.77</v>
      </c>
      <c r="I13" s="13">
        <f t="shared" si="2"/>
        <v>107999.79</v>
      </c>
      <c r="J13" s="14">
        <v>505</v>
      </c>
      <c r="K13" s="13">
        <f t="shared" si="3"/>
        <v>114635</v>
      </c>
      <c r="L13" s="11">
        <f>G13-'13'!D13</f>
        <v>37</v>
      </c>
      <c r="M13" s="13">
        <f t="shared" si="4"/>
        <v>18685</v>
      </c>
    </row>
    <row r="14" spans="1:13">
      <c r="A14" s="7" t="s">
        <v>22</v>
      </c>
      <c r="B14" s="8" t="s">
        <v>19</v>
      </c>
      <c r="C14" s="9">
        <v>20</v>
      </c>
      <c r="D14" s="10">
        <v>4</v>
      </c>
      <c r="E14" s="11"/>
      <c r="F14" s="9">
        <f t="shared" si="0"/>
        <v>0</v>
      </c>
      <c r="G14" s="11">
        <f t="shared" si="1"/>
        <v>4</v>
      </c>
      <c r="H14" s="12">
        <v>470.8</v>
      </c>
      <c r="I14" s="13">
        <f t="shared" si="2"/>
        <v>1883.2</v>
      </c>
      <c r="J14" s="14">
        <v>505</v>
      </c>
      <c r="K14" s="13">
        <f t="shared" si="3"/>
        <v>2020</v>
      </c>
      <c r="L14" s="11">
        <f>G14-'13'!D14</f>
        <v>4</v>
      </c>
      <c r="M14" s="13">
        <f t="shared" si="4"/>
        <v>2020</v>
      </c>
    </row>
    <row r="15" spans="1:13">
      <c r="A15" s="7" t="s">
        <v>22</v>
      </c>
      <c r="B15" s="8" t="s">
        <v>20</v>
      </c>
      <c r="C15" s="9">
        <v>20</v>
      </c>
      <c r="D15" s="10">
        <v>22</v>
      </c>
      <c r="E15" s="11"/>
      <c r="F15" s="9">
        <f t="shared" si="0"/>
        <v>0</v>
      </c>
      <c r="G15" s="11">
        <f t="shared" si="1"/>
        <v>22</v>
      </c>
      <c r="H15" s="12">
        <v>470.8</v>
      </c>
      <c r="I15" s="13">
        <f t="shared" si="2"/>
        <v>10357.6</v>
      </c>
      <c r="J15" s="14">
        <v>505</v>
      </c>
      <c r="K15" s="13">
        <f t="shared" si="3"/>
        <v>11110</v>
      </c>
      <c r="L15" s="11">
        <f>G15-'13'!D15</f>
        <v>7</v>
      </c>
      <c r="M15" s="13">
        <f t="shared" si="4"/>
        <v>3535</v>
      </c>
    </row>
    <row r="16" spans="1:13">
      <c r="A16" s="7" t="s">
        <v>22</v>
      </c>
      <c r="B16" s="8" t="s">
        <v>21</v>
      </c>
      <c r="C16" s="9">
        <v>20</v>
      </c>
      <c r="D16" s="10"/>
      <c r="E16" s="11"/>
      <c r="F16" s="9">
        <f t="shared" si="0"/>
        <v>0</v>
      </c>
      <c r="G16" s="11">
        <f t="shared" si="1"/>
        <v>0</v>
      </c>
      <c r="H16" s="12">
        <v>470.8</v>
      </c>
      <c r="I16" s="13">
        <f t="shared" si="2"/>
        <v>0</v>
      </c>
      <c r="J16" s="14">
        <v>505</v>
      </c>
      <c r="K16" s="13">
        <f t="shared" si="3"/>
        <v>0</v>
      </c>
      <c r="L16" s="11">
        <f>G16-'13'!D16</f>
        <v>0</v>
      </c>
      <c r="M16" s="13">
        <f t="shared" si="4"/>
        <v>0</v>
      </c>
    </row>
    <row r="17" spans="1:13">
      <c r="A17" s="7" t="s">
        <v>22</v>
      </c>
      <c r="B17" s="8" t="s">
        <v>29</v>
      </c>
      <c r="C17" s="9">
        <v>11</v>
      </c>
      <c r="D17" s="10">
        <v>58</v>
      </c>
      <c r="E17" s="11"/>
      <c r="F17" s="9">
        <f t="shared" si="0"/>
        <v>0</v>
      </c>
      <c r="G17" s="11">
        <f t="shared" si="1"/>
        <v>58</v>
      </c>
      <c r="H17" s="12">
        <v>235.59</v>
      </c>
      <c r="I17" s="13">
        <f t="shared" si="2"/>
        <v>13664.22</v>
      </c>
      <c r="J17" s="14">
        <v>250</v>
      </c>
      <c r="K17" s="13">
        <f t="shared" si="3"/>
        <v>14500</v>
      </c>
      <c r="L17" s="11">
        <f>G17-'13'!D17</f>
        <v>7</v>
      </c>
      <c r="M17" s="13">
        <f t="shared" si="4"/>
        <v>1750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f>G18-'13'!D18</f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/>
      <c r="E19" s="11"/>
      <c r="F19" s="9">
        <f t="shared" si="0"/>
        <v>0</v>
      </c>
      <c r="G19" s="11">
        <f t="shared" si="1"/>
        <v>0</v>
      </c>
      <c r="H19" s="12">
        <v>204</v>
      </c>
      <c r="I19" s="13">
        <f t="shared" si="2"/>
        <v>0</v>
      </c>
      <c r="J19" s="14">
        <v>230</v>
      </c>
      <c r="K19" s="13">
        <f t="shared" si="3"/>
        <v>0</v>
      </c>
      <c r="L19" s="11">
        <f>G19-'13'!D19</f>
        <v>0</v>
      </c>
      <c r="M19" s="13">
        <f t="shared" si="4"/>
        <v>0</v>
      </c>
    </row>
    <row r="20" spans="1:13">
      <c r="A20" s="7" t="s">
        <v>22</v>
      </c>
      <c r="B20" s="8" t="s">
        <v>25</v>
      </c>
      <c r="C20" s="9">
        <v>10</v>
      </c>
      <c r="D20" s="10"/>
      <c r="E20" s="11"/>
      <c r="F20" s="9">
        <f t="shared" si="0"/>
        <v>0</v>
      </c>
      <c r="G20" s="11">
        <f t="shared" si="1"/>
        <v>0</v>
      </c>
      <c r="H20" s="12">
        <v>204</v>
      </c>
      <c r="I20" s="13">
        <f>H20*D20</f>
        <v>0</v>
      </c>
      <c r="J20" s="14">
        <v>230</v>
      </c>
      <c r="K20" s="13">
        <f t="shared" si="3"/>
        <v>0</v>
      </c>
      <c r="L20" s="11">
        <f>G20-'13'!D20</f>
        <v>0</v>
      </c>
      <c r="M20" s="13">
        <f t="shared" si="4"/>
        <v>0</v>
      </c>
    </row>
    <row r="21" spans="1:13">
      <c r="A21" s="7" t="s">
        <v>22</v>
      </c>
      <c r="B21" s="8" t="s">
        <v>26</v>
      </c>
      <c r="C21" s="9">
        <v>10</v>
      </c>
      <c r="D21" s="10">
        <v>25</v>
      </c>
      <c r="E21" s="11"/>
      <c r="F21" s="9">
        <f t="shared" si="0"/>
        <v>0</v>
      </c>
      <c r="G21" s="11">
        <f t="shared" si="1"/>
        <v>25</v>
      </c>
      <c r="H21" s="12">
        <v>204</v>
      </c>
      <c r="I21" s="13">
        <f t="shared" si="2"/>
        <v>5100</v>
      </c>
      <c r="J21" s="14">
        <v>230</v>
      </c>
      <c r="K21" s="13">
        <f t="shared" si="3"/>
        <v>5750</v>
      </c>
      <c r="L21" s="11">
        <f>G21-'13'!D21</f>
        <v>0</v>
      </c>
      <c r="M21" s="13">
        <f t="shared" si="4"/>
        <v>0</v>
      </c>
    </row>
    <row r="22" spans="1:13">
      <c r="A22" s="7" t="s">
        <v>22</v>
      </c>
      <c r="B22" s="8" t="s">
        <v>13</v>
      </c>
      <c r="C22" s="9">
        <v>19</v>
      </c>
      <c r="D22" s="10"/>
      <c r="E22" s="11"/>
      <c r="F22" s="9">
        <f t="shared" si="0"/>
        <v>0</v>
      </c>
      <c r="G22" s="11">
        <f t="shared" si="1"/>
        <v>0</v>
      </c>
      <c r="H22" s="12">
        <v>474.46</v>
      </c>
      <c r="I22" s="13">
        <f t="shared" si="2"/>
        <v>0</v>
      </c>
      <c r="J22" s="14">
        <v>505</v>
      </c>
      <c r="K22" s="13">
        <f t="shared" si="3"/>
        <v>0</v>
      </c>
      <c r="L22" s="11">
        <f>G22-'13'!D22</f>
        <v>0</v>
      </c>
      <c r="M22" s="13">
        <f t="shared" si="4"/>
        <v>0</v>
      </c>
    </row>
    <row r="23" spans="1:13">
      <c r="A23" s="7" t="s">
        <v>22</v>
      </c>
      <c r="B23" s="8" t="s">
        <v>27</v>
      </c>
      <c r="C23" s="9">
        <v>24</v>
      </c>
      <c r="D23" s="10">
        <v>119</v>
      </c>
      <c r="E23" s="11"/>
      <c r="F23" s="9">
        <f t="shared" si="0"/>
        <v>0</v>
      </c>
      <c r="G23" s="11">
        <f t="shared" si="1"/>
        <v>119</v>
      </c>
      <c r="H23" s="12">
        <v>593.91999999999996</v>
      </c>
      <c r="I23" s="13">
        <f t="shared" si="2"/>
        <v>70676.479999999996</v>
      </c>
      <c r="J23" s="14">
        <v>630</v>
      </c>
      <c r="K23" s="13">
        <f t="shared" si="3"/>
        <v>74970</v>
      </c>
      <c r="L23" s="11">
        <f>G23-'13'!D23</f>
        <v>10</v>
      </c>
      <c r="M23" s="13">
        <f t="shared" si="4"/>
        <v>6300</v>
      </c>
    </row>
    <row r="24" spans="1:13">
      <c r="A24" s="7" t="s">
        <v>30</v>
      </c>
      <c r="B24" s="8" t="s">
        <v>17</v>
      </c>
      <c r="C24" s="9">
        <v>25</v>
      </c>
      <c r="D24" s="10">
        <v>75</v>
      </c>
      <c r="E24" s="10"/>
      <c r="F24" s="9">
        <f t="shared" si="0"/>
        <v>0</v>
      </c>
      <c r="G24" s="11">
        <f t="shared" si="1"/>
        <v>75</v>
      </c>
      <c r="H24" s="12">
        <v>453.3</v>
      </c>
      <c r="I24" s="13">
        <f t="shared" si="2"/>
        <v>33997.5</v>
      </c>
      <c r="J24" s="14">
        <v>493</v>
      </c>
      <c r="K24" s="13">
        <f t="shared" si="3"/>
        <v>36975</v>
      </c>
      <c r="L24" s="11">
        <f>G24-'13'!D24</f>
        <v>0</v>
      </c>
      <c r="M24" s="13">
        <f t="shared" si="4"/>
        <v>0</v>
      </c>
    </row>
    <row r="25" spans="1:13">
      <c r="A25" s="7" t="s">
        <v>30</v>
      </c>
      <c r="B25" s="8" t="s">
        <v>18</v>
      </c>
      <c r="C25" s="9">
        <v>25</v>
      </c>
      <c r="D25" s="10">
        <v>20</v>
      </c>
      <c r="E25" s="10"/>
      <c r="F25" s="9">
        <f t="shared" si="0"/>
        <v>0</v>
      </c>
      <c r="G25" s="11">
        <f t="shared" si="1"/>
        <v>20</v>
      </c>
      <c r="H25" s="12">
        <v>453.3</v>
      </c>
      <c r="I25" s="13">
        <f t="shared" si="2"/>
        <v>9066</v>
      </c>
      <c r="J25" s="14">
        <v>493</v>
      </c>
      <c r="K25" s="13">
        <f t="shared" si="3"/>
        <v>9860</v>
      </c>
      <c r="L25" s="11">
        <f>G25-'13'!D25</f>
        <v>0</v>
      </c>
      <c r="M25" s="13">
        <f t="shared" si="4"/>
        <v>0</v>
      </c>
    </row>
    <row r="26" spans="1:13">
      <c r="A26" s="7" t="s">
        <v>30</v>
      </c>
      <c r="B26" s="8" t="s">
        <v>20</v>
      </c>
      <c r="C26" s="9">
        <v>25</v>
      </c>
      <c r="D26" s="10"/>
      <c r="E26" s="10"/>
      <c r="F26" s="9">
        <f t="shared" si="0"/>
        <v>0</v>
      </c>
      <c r="G26" s="11">
        <f t="shared" si="1"/>
        <v>0</v>
      </c>
      <c r="H26" s="12">
        <v>453.3</v>
      </c>
      <c r="I26" s="13">
        <f t="shared" si="2"/>
        <v>0</v>
      </c>
      <c r="J26" s="14">
        <v>493</v>
      </c>
      <c r="K26" s="13">
        <f t="shared" si="3"/>
        <v>0</v>
      </c>
      <c r="L26" s="11">
        <f>G26-'13'!D26</f>
        <v>0</v>
      </c>
      <c r="M26" s="13">
        <f t="shared" si="4"/>
        <v>0</v>
      </c>
    </row>
    <row r="27" spans="1:13">
      <c r="A27" s="7" t="s">
        <v>30</v>
      </c>
      <c r="B27" s="8" t="s">
        <v>21</v>
      </c>
      <c r="C27" s="9">
        <v>25</v>
      </c>
      <c r="D27" s="10"/>
      <c r="E27" s="10"/>
      <c r="F27" s="9">
        <f t="shared" si="0"/>
        <v>0</v>
      </c>
      <c r="G27" s="11">
        <f t="shared" si="1"/>
        <v>0</v>
      </c>
      <c r="H27" s="12">
        <v>453.3</v>
      </c>
      <c r="I27" s="13">
        <f t="shared" si="2"/>
        <v>0</v>
      </c>
      <c r="J27" s="14">
        <v>493</v>
      </c>
      <c r="K27" s="13">
        <f t="shared" si="3"/>
        <v>0</v>
      </c>
      <c r="L27" s="11">
        <f>G27-'13'!D27</f>
        <v>0</v>
      </c>
      <c r="M27" s="13">
        <f t="shared" si="4"/>
        <v>0</v>
      </c>
    </row>
    <row r="28" spans="1:13">
      <c r="A28" s="7" t="s">
        <v>31</v>
      </c>
      <c r="B28" s="7" t="s">
        <v>17</v>
      </c>
      <c r="C28" s="9">
        <v>40</v>
      </c>
      <c r="D28" s="10"/>
      <c r="E28" s="10"/>
      <c r="F28" s="9">
        <f t="shared" si="0"/>
        <v>0</v>
      </c>
      <c r="G28" s="11">
        <f t="shared" si="1"/>
        <v>0</v>
      </c>
      <c r="H28" s="12">
        <v>821.36</v>
      </c>
      <c r="I28" s="13">
        <f t="shared" si="2"/>
        <v>0</v>
      </c>
      <c r="J28" s="14">
        <v>878</v>
      </c>
      <c r="K28" s="13">
        <f t="shared" si="3"/>
        <v>0</v>
      </c>
      <c r="L28" s="11">
        <f>G28-'13'!D28</f>
        <v>0</v>
      </c>
      <c r="M28" s="13">
        <f t="shared" si="4"/>
        <v>0</v>
      </c>
    </row>
    <row r="29" spans="1:13">
      <c r="A29" s="7" t="s">
        <v>31</v>
      </c>
      <c r="B29" s="7" t="s">
        <v>18</v>
      </c>
      <c r="C29" s="9">
        <v>40</v>
      </c>
      <c r="D29" s="10"/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f>G29-'13'!D29</f>
        <v>0</v>
      </c>
      <c r="M29" s="13">
        <f t="shared" si="4"/>
        <v>0</v>
      </c>
    </row>
    <row r="30" spans="1:13">
      <c r="A30" s="7" t="s">
        <v>31</v>
      </c>
      <c r="B30" s="7" t="s">
        <v>19</v>
      </c>
      <c r="C30" s="9">
        <v>40</v>
      </c>
      <c r="D30" s="10"/>
      <c r="E30" s="10"/>
      <c r="F30" s="9">
        <f t="shared" si="0"/>
        <v>0</v>
      </c>
      <c r="G30" s="11">
        <f t="shared" si="1"/>
        <v>0</v>
      </c>
      <c r="H30" s="12">
        <v>817.58</v>
      </c>
      <c r="I30" s="13">
        <f t="shared" si="2"/>
        <v>0</v>
      </c>
      <c r="J30" s="14">
        <v>878</v>
      </c>
      <c r="K30" s="13">
        <f t="shared" si="3"/>
        <v>0</v>
      </c>
      <c r="L30" s="11">
        <f>G30-'13'!D30</f>
        <v>0</v>
      </c>
      <c r="M30" s="13">
        <f t="shared" si="4"/>
        <v>0</v>
      </c>
    </row>
    <row r="31" spans="1:13">
      <c r="A31" s="7" t="s">
        <v>31</v>
      </c>
      <c r="B31" s="7" t="s">
        <v>20</v>
      </c>
      <c r="C31" s="9">
        <v>40</v>
      </c>
      <c r="D31" s="10"/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f>G31-'13'!D31</f>
        <v>0</v>
      </c>
      <c r="M31" s="13">
        <f t="shared" si="4"/>
        <v>0</v>
      </c>
    </row>
    <row r="32" spans="1:13">
      <c r="A32" s="7" t="s">
        <v>31</v>
      </c>
      <c r="B32" s="7" t="s">
        <v>21</v>
      </c>
      <c r="C32" s="9">
        <v>40</v>
      </c>
      <c r="D32" s="10"/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f>G32-'13'!D32</f>
        <v>0</v>
      </c>
      <c r="M32" s="13">
        <f t="shared" si="4"/>
        <v>0</v>
      </c>
    </row>
    <row r="33" spans="1:13">
      <c r="A33" s="7" t="s">
        <v>31</v>
      </c>
      <c r="B33" s="7" t="s">
        <v>32</v>
      </c>
      <c r="C33" s="9">
        <v>40</v>
      </c>
      <c r="D33" s="10"/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f>G33-'13'!D33</f>
        <v>0</v>
      </c>
      <c r="M33" s="13">
        <f t="shared" si="4"/>
        <v>0</v>
      </c>
    </row>
    <row r="34" spans="1:13">
      <c r="A34" s="7" t="s">
        <v>31</v>
      </c>
      <c r="B34" s="7" t="s">
        <v>33</v>
      </c>
      <c r="C34" s="9">
        <v>60</v>
      </c>
      <c r="D34" s="10">
        <v>317</v>
      </c>
      <c r="E34" s="10"/>
      <c r="F34" s="9">
        <f t="shared" si="0"/>
        <v>0</v>
      </c>
      <c r="G34" s="11">
        <f t="shared" si="1"/>
        <v>317</v>
      </c>
      <c r="H34" s="12">
        <v>1042.6500000000001</v>
      </c>
      <c r="I34" s="13">
        <f t="shared" si="2"/>
        <v>330520.05000000005</v>
      </c>
      <c r="J34" s="14">
        <v>1110</v>
      </c>
      <c r="K34" s="13">
        <f t="shared" si="3"/>
        <v>351870</v>
      </c>
      <c r="L34" s="11">
        <f>G34-'13'!D34</f>
        <v>10</v>
      </c>
      <c r="M34" s="13">
        <f t="shared" si="4"/>
        <v>11100</v>
      </c>
    </row>
    <row r="35" spans="1:13">
      <c r="A35" s="7" t="s">
        <v>34</v>
      </c>
      <c r="B35" s="7" t="s">
        <v>35</v>
      </c>
      <c r="C35" s="9">
        <v>7</v>
      </c>
      <c r="D35" s="10">
        <v>11</v>
      </c>
      <c r="E35" s="10"/>
      <c r="F35" s="9">
        <f t="shared" si="0"/>
        <v>0</v>
      </c>
      <c r="G35" s="11">
        <f t="shared" si="1"/>
        <v>11</v>
      </c>
      <c r="H35" s="12">
        <v>126.24</v>
      </c>
      <c r="I35" s="13">
        <f t="shared" si="2"/>
        <v>1388.6399999999999</v>
      </c>
      <c r="J35" s="14">
        <v>140</v>
      </c>
      <c r="K35" s="13">
        <f t="shared" si="3"/>
        <v>1540</v>
      </c>
      <c r="L35" s="11">
        <f>G35-'13'!D35</f>
        <v>0</v>
      </c>
      <c r="M35" s="13">
        <f t="shared" si="4"/>
        <v>0</v>
      </c>
    </row>
    <row r="36" spans="1:13">
      <c r="A36" s="7" t="s">
        <v>36</v>
      </c>
      <c r="B36" s="7" t="s">
        <v>37</v>
      </c>
      <c r="C36" s="9">
        <v>125</v>
      </c>
      <c r="D36" s="10">
        <v>15</v>
      </c>
      <c r="E36" s="10"/>
      <c r="F36" s="9">
        <f t="shared" si="0"/>
        <v>0</v>
      </c>
      <c r="G36" s="11">
        <f t="shared" si="1"/>
        <v>15</v>
      </c>
      <c r="H36" s="12">
        <v>2050.54</v>
      </c>
      <c r="I36" s="13">
        <f t="shared" si="2"/>
        <v>30758.1</v>
      </c>
      <c r="J36" s="14">
        <v>2175</v>
      </c>
      <c r="K36" s="13">
        <f t="shared" si="3"/>
        <v>32625</v>
      </c>
      <c r="L36" s="11">
        <f>G36-'13'!D36</f>
        <v>1</v>
      </c>
      <c r="M36" s="13">
        <f t="shared" si="4"/>
        <v>2175</v>
      </c>
    </row>
    <row r="37" spans="1:13">
      <c r="A37" s="7" t="s">
        <v>38</v>
      </c>
      <c r="B37" s="7" t="s">
        <v>17</v>
      </c>
      <c r="C37" s="9">
        <v>20</v>
      </c>
      <c r="D37" s="10">
        <v>2</v>
      </c>
      <c r="E37" s="10"/>
      <c r="F37" s="9">
        <f t="shared" si="0"/>
        <v>0</v>
      </c>
      <c r="G37" s="11">
        <f t="shared" si="1"/>
        <v>2</v>
      </c>
      <c r="H37" s="12">
        <v>399.19</v>
      </c>
      <c r="I37" s="13">
        <f t="shared" si="2"/>
        <v>798.38</v>
      </c>
      <c r="J37" s="14">
        <v>420</v>
      </c>
      <c r="K37" s="13">
        <f t="shared" si="3"/>
        <v>840</v>
      </c>
      <c r="L37" s="11">
        <f>G37-'13'!D37</f>
        <v>0</v>
      </c>
      <c r="M37" s="13">
        <f t="shared" si="4"/>
        <v>0</v>
      </c>
    </row>
    <row r="38" spans="1:13">
      <c r="A38" s="7" t="s">
        <v>38</v>
      </c>
      <c r="B38" s="7" t="s">
        <v>18</v>
      </c>
      <c r="C38" s="9">
        <v>20</v>
      </c>
      <c r="D38" s="10"/>
      <c r="E38" s="10"/>
      <c r="F38" s="9">
        <f t="shared" si="0"/>
        <v>0</v>
      </c>
      <c r="G38" s="11">
        <f t="shared" si="1"/>
        <v>0</v>
      </c>
      <c r="H38" s="12">
        <v>399.19</v>
      </c>
      <c r="I38" s="13">
        <f t="shared" si="2"/>
        <v>0</v>
      </c>
      <c r="J38" s="14">
        <v>420</v>
      </c>
      <c r="K38" s="13">
        <f t="shared" si="3"/>
        <v>0</v>
      </c>
      <c r="L38" s="11">
        <f>G38-'13'!D38</f>
        <v>0</v>
      </c>
      <c r="M38" s="13">
        <f t="shared" si="4"/>
        <v>0</v>
      </c>
    </row>
    <row r="39" spans="1:13">
      <c r="A39" s="7" t="s">
        <v>38</v>
      </c>
      <c r="B39" s="7" t="s">
        <v>21</v>
      </c>
      <c r="C39" s="9">
        <v>20</v>
      </c>
      <c r="D39" s="10"/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f>G39-'13'!D39</f>
        <v>0</v>
      </c>
      <c r="M39" s="13">
        <f t="shared" si="4"/>
        <v>0</v>
      </c>
    </row>
    <row r="40" spans="1:13">
      <c r="A40" s="7" t="s">
        <v>39</v>
      </c>
      <c r="B40" s="7" t="s">
        <v>35</v>
      </c>
      <c r="C40" s="9">
        <v>9</v>
      </c>
      <c r="D40" s="10">
        <v>63</v>
      </c>
      <c r="E40" s="10"/>
      <c r="F40" s="9">
        <f t="shared" si="0"/>
        <v>0</v>
      </c>
      <c r="G40" s="11">
        <f t="shared" si="1"/>
        <v>63</v>
      </c>
      <c r="H40" s="12">
        <v>174.19</v>
      </c>
      <c r="I40" s="13">
        <f t="shared" si="2"/>
        <v>10973.97</v>
      </c>
      <c r="J40" s="14">
        <v>185</v>
      </c>
      <c r="K40" s="13">
        <f t="shared" si="3"/>
        <v>11655</v>
      </c>
      <c r="L40" s="11">
        <f>G40-'13'!D40</f>
        <v>16</v>
      </c>
      <c r="M40" s="13">
        <f t="shared" si="4"/>
        <v>2960</v>
      </c>
    </row>
    <row r="41" spans="1:13">
      <c r="A41" s="7" t="s">
        <v>40</v>
      </c>
      <c r="B41" s="7" t="s">
        <v>13</v>
      </c>
      <c r="C41" s="9">
        <v>35</v>
      </c>
      <c r="D41" s="10">
        <v>18</v>
      </c>
      <c r="E41" s="10"/>
      <c r="F41" s="9">
        <f t="shared" si="0"/>
        <v>0</v>
      </c>
      <c r="G41" s="11">
        <f t="shared" si="1"/>
        <v>18</v>
      </c>
      <c r="H41" s="12">
        <v>748.13</v>
      </c>
      <c r="I41" s="13">
        <f t="shared" si="2"/>
        <v>13466.34</v>
      </c>
      <c r="J41" s="14">
        <v>795</v>
      </c>
      <c r="K41" s="13">
        <f t="shared" si="3"/>
        <v>14310</v>
      </c>
      <c r="L41" s="11">
        <f>G41-'13'!D41</f>
        <v>3</v>
      </c>
      <c r="M41" s="13">
        <f t="shared" si="4"/>
        <v>2385</v>
      </c>
    </row>
    <row r="42" spans="1:13">
      <c r="A42" s="7" t="s">
        <v>41</v>
      </c>
      <c r="B42" s="7" t="s">
        <v>17</v>
      </c>
      <c r="C42" s="9">
        <v>40</v>
      </c>
      <c r="D42" s="10">
        <v>45</v>
      </c>
      <c r="E42" s="10"/>
      <c r="F42" s="9">
        <f t="shared" si="0"/>
        <v>0</v>
      </c>
      <c r="G42" s="11">
        <f t="shared" si="1"/>
        <v>45</v>
      </c>
      <c r="H42" s="12">
        <v>842.86</v>
      </c>
      <c r="I42" s="13">
        <f t="shared" si="2"/>
        <v>37928.699999999997</v>
      </c>
      <c r="J42" s="14">
        <v>900</v>
      </c>
      <c r="K42" s="13">
        <f t="shared" si="3"/>
        <v>40500</v>
      </c>
      <c r="L42" s="11">
        <f>G42-'13'!D42</f>
        <v>4</v>
      </c>
      <c r="M42" s="13">
        <f t="shared" si="4"/>
        <v>3600</v>
      </c>
    </row>
    <row r="43" spans="1:13">
      <c r="A43" s="7" t="s">
        <v>41</v>
      </c>
      <c r="B43" s="7" t="s">
        <v>18</v>
      </c>
      <c r="C43" s="9">
        <v>40</v>
      </c>
      <c r="D43" s="10">
        <v>17</v>
      </c>
      <c r="E43" s="10"/>
      <c r="F43" s="9">
        <f t="shared" si="0"/>
        <v>0</v>
      </c>
      <c r="G43" s="11">
        <f t="shared" si="1"/>
        <v>17</v>
      </c>
      <c r="H43" s="12">
        <v>842.86</v>
      </c>
      <c r="I43" s="13">
        <f t="shared" si="2"/>
        <v>14328.62</v>
      </c>
      <c r="J43" s="14">
        <v>900</v>
      </c>
      <c r="K43" s="13">
        <f t="shared" si="3"/>
        <v>15300</v>
      </c>
      <c r="L43" s="11">
        <f>G43-'13'!D43</f>
        <v>0</v>
      </c>
      <c r="M43" s="13">
        <f t="shared" si="4"/>
        <v>0</v>
      </c>
    </row>
    <row r="44" spans="1:13">
      <c r="A44" s="7" t="s">
        <v>41</v>
      </c>
      <c r="B44" s="7" t="s">
        <v>19</v>
      </c>
      <c r="C44" s="9">
        <v>40</v>
      </c>
      <c r="D44" s="10"/>
      <c r="E44" s="10"/>
      <c r="F44" s="9">
        <f t="shared" si="0"/>
        <v>0</v>
      </c>
      <c r="G44" s="11">
        <f t="shared" si="1"/>
        <v>0</v>
      </c>
      <c r="H44" s="12">
        <v>839.68</v>
      </c>
      <c r="I44" s="13">
        <f t="shared" si="2"/>
        <v>0</v>
      </c>
      <c r="J44" s="14">
        <v>900</v>
      </c>
      <c r="K44" s="13">
        <f t="shared" si="3"/>
        <v>0</v>
      </c>
      <c r="L44" s="11">
        <f>G44-'13'!D44</f>
        <v>0</v>
      </c>
      <c r="M44" s="13">
        <f t="shared" si="4"/>
        <v>0</v>
      </c>
    </row>
    <row r="45" spans="1:13">
      <c r="A45" s="7" t="s">
        <v>41</v>
      </c>
      <c r="B45" s="7" t="s">
        <v>20</v>
      </c>
      <c r="C45" s="9">
        <v>40</v>
      </c>
      <c r="D45" s="10"/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f>G45-'13'!D45</f>
        <v>0</v>
      </c>
      <c r="M45" s="13">
        <f t="shared" si="4"/>
        <v>0</v>
      </c>
    </row>
    <row r="46" spans="1:13">
      <c r="A46" s="7" t="s">
        <v>41</v>
      </c>
      <c r="B46" s="7" t="s">
        <v>21</v>
      </c>
      <c r="C46" s="9">
        <v>40</v>
      </c>
      <c r="D46" s="10"/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f>G46-'13'!D46</f>
        <v>0</v>
      </c>
      <c r="M46" s="13">
        <f t="shared" si="4"/>
        <v>0</v>
      </c>
    </row>
    <row r="47" spans="1:13">
      <c r="A47" s="7" t="s">
        <v>42</v>
      </c>
      <c r="B47" s="7" t="s">
        <v>29</v>
      </c>
      <c r="C47" s="9">
        <v>18</v>
      </c>
      <c r="D47" s="10">
        <v>25</v>
      </c>
      <c r="E47" s="10"/>
      <c r="F47" s="9">
        <f t="shared" si="0"/>
        <v>0</v>
      </c>
      <c r="G47" s="11">
        <f t="shared" si="1"/>
        <v>25</v>
      </c>
      <c r="H47" s="12">
        <v>375.68</v>
      </c>
      <c r="I47" s="13">
        <f t="shared" si="2"/>
        <v>9392</v>
      </c>
      <c r="J47" s="14">
        <v>400</v>
      </c>
      <c r="K47" s="13">
        <f t="shared" si="3"/>
        <v>10000</v>
      </c>
      <c r="L47" s="11">
        <f>G47-'13'!D47</f>
        <v>6</v>
      </c>
      <c r="M47" s="13">
        <f t="shared" si="4"/>
        <v>2400</v>
      </c>
    </row>
    <row r="48" spans="1:13">
      <c r="A48" s="7" t="s">
        <v>54</v>
      </c>
      <c r="B48" s="7" t="s">
        <v>44</v>
      </c>
      <c r="C48" s="9">
        <v>50</v>
      </c>
      <c r="D48" s="11">
        <v>14</v>
      </c>
      <c r="E48" s="11"/>
      <c r="F48" s="9">
        <f t="shared" si="0"/>
        <v>0</v>
      </c>
      <c r="G48" s="11">
        <f t="shared" si="1"/>
        <v>14</v>
      </c>
      <c r="H48" s="12">
        <v>670.32</v>
      </c>
      <c r="I48" s="13">
        <f t="shared" si="2"/>
        <v>9384.4800000000014</v>
      </c>
      <c r="J48" s="14">
        <v>710</v>
      </c>
      <c r="K48" s="13">
        <f t="shared" si="3"/>
        <v>9940</v>
      </c>
      <c r="L48" s="11">
        <f>G48-'13'!D48</f>
        <v>6</v>
      </c>
      <c r="M48" s="13">
        <f t="shared" si="4"/>
        <v>4260</v>
      </c>
    </row>
    <row r="49" spans="1:13">
      <c r="A49" s="7" t="s">
        <v>43</v>
      </c>
      <c r="B49" s="7" t="s">
        <v>17</v>
      </c>
      <c r="C49" s="9">
        <v>50</v>
      </c>
      <c r="D49" s="10">
        <v>142</v>
      </c>
      <c r="E49" s="10"/>
      <c r="F49" s="9">
        <f t="shared" si="0"/>
        <v>0</v>
      </c>
      <c r="G49" s="11">
        <f t="shared" si="1"/>
        <v>142</v>
      </c>
      <c r="H49" s="12">
        <v>661.22</v>
      </c>
      <c r="I49" s="13">
        <f t="shared" si="2"/>
        <v>93893.24</v>
      </c>
      <c r="J49" s="14">
        <v>710</v>
      </c>
      <c r="K49" s="13">
        <f t="shared" si="3"/>
        <v>100820</v>
      </c>
      <c r="L49" s="11">
        <f>G49-'13'!D49</f>
        <v>17</v>
      </c>
      <c r="M49" s="13">
        <f t="shared" si="4"/>
        <v>12070</v>
      </c>
    </row>
    <row r="50" spans="1:13">
      <c r="A50" s="7" t="s">
        <v>43</v>
      </c>
      <c r="B50" s="7" t="s">
        <v>18</v>
      </c>
      <c r="C50" s="9">
        <v>50</v>
      </c>
      <c r="D50" s="10">
        <v>11</v>
      </c>
      <c r="E50" s="10"/>
      <c r="F50" s="9">
        <f t="shared" si="0"/>
        <v>0</v>
      </c>
      <c r="G50" s="11">
        <f t="shared" si="1"/>
        <v>11</v>
      </c>
      <c r="H50" s="12">
        <v>661.22</v>
      </c>
      <c r="I50" s="13">
        <f t="shared" si="2"/>
        <v>7273.42</v>
      </c>
      <c r="J50" s="14">
        <v>710</v>
      </c>
      <c r="K50" s="13">
        <f t="shared" si="3"/>
        <v>7810</v>
      </c>
      <c r="L50" s="11">
        <f>G50-'13'!D50</f>
        <v>8</v>
      </c>
      <c r="M50" s="13">
        <f t="shared" si="4"/>
        <v>5680</v>
      </c>
    </row>
    <row r="51" spans="1:13">
      <c r="A51" s="7" t="s">
        <v>43</v>
      </c>
      <c r="B51" s="7" t="s">
        <v>19</v>
      </c>
      <c r="C51" s="9">
        <v>50</v>
      </c>
      <c r="D51" s="10"/>
      <c r="E51" s="10"/>
      <c r="F51" s="9">
        <f t="shared" si="0"/>
        <v>0</v>
      </c>
      <c r="G51" s="11">
        <f t="shared" si="1"/>
        <v>0</v>
      </c>
      <c r="H51" s="12">
        <v>661.22</v>
      </c>
      <c r="I51" s="13">
        <f t="shared" si="2"/>
        <v>0</v>
      </c>
      <c r="J51" s="14">
        <v>710</v>
      </c>
      <c r="K51" s="13">
        <f t="shared" si="3"/>
        <v>0</v>
      </c>
      <c r="L51" s="11">
        <f>G51-'13'!D51</f>
        <v>0</v>
      </c>
      <c r="M51" s="13">
        <f t="shared" si="4"/>
        <v>0</v>
      </c>
    </row>
    <row r="52" spans="1:13">
      <c r="A52" s="7" t="s">
        <v>43</v>
      </c>
      <c r="B52" s="7" t="s">
        <v>20</v>
      </c>
      <c r="C52" s="9">
        <v>50</v>
      </c>
      <c r="D52" s="10"/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f>G52-'13'!D52</f>
        <v>0</v>
      </c>
      <c r="M52" s="13">
        <f t="shared" si="4"/>
        <v>0</v>
      </c>
    </row>
    <row r="53" spans="1:13">
      <c r="A53" s="7" t="s">
        <v>43</v>
      </c>
      <c r="B53" s="7" t="s">
        <v>21</v>
      </c>
      <c r="C53" s="9">
        <v>50</v>
      </c>
      <c r="D53" s="10"/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f>G53-'13'!D53</f>
        <v>0</v>
      </c>
      <c r="M53" s="13">
        <f t="shared" si="4"/>
        <v>0</v>
      </c>
    </row>
    <row r="54" spans="1:13">
      <c r="A54" s="7" t="s">
        <v>43</v>
      </c>
      <c r="B54" s="7" t="s">
        <v>44</v>
      </c>
      <c r="C54" s="9">
        <v>85</v>
      </c>
      <c r="D54" s="10">
        <v>3</v>
      </c>
      <c r="E54" s="10"/>
      <c r="F54" s="9">
        <f t="shared" si="0"/>
        <v>0</v>
      </c>
      <c r="G54" s="11">
        <f t="shared" si="1"/>
        <v>3</v>
      </c>
      <c r="H54" s="12">
        <v>797.07</v>
      </c>
      <c r="I54" s="13">
        <f t="shared" si="2"/>
        <v>2391.21</v>
      </c>
      <c r="J54" s="14">
        <v>845</v>
      </c>
      <c r="K54" s="13">
        <f t="shared" si="3"/>
        <v>2535</v>
      </c>
      <c r="L54" s="11">
        <f>G54-'13'!D54</f>
        <v>0</v>
      </c>
      <c r="M54" s="13">
        <f t="shared" si="4"/>
        <v>0</v>
      </c>
    </row>
    <row r="55" spans="1:13">
      <c r="A55" s="7" t="s">
        <v>45</v>
      </c>
      <c r="B55" s="7" t="s">
        <v>35</v>
      </c>
      <c r="C55" s="9">
        <v>18</v>
      </c>
      <c r="D55" s="10">
        <v>1061</v>
      </c>
      <c r="E55" s="10"/>
      <c r="F55" s="9">
        <f t="shared" si="0"/>
        <v>0</v>
      </c>
      <c r="G55" s="11">
        <f t="shared" si="1"/>
        <v>1061</v>
      </c>
      <c r="H55" s="12">
        <v>160.77000000000001</v>
      </c>
      <c r="I55" s="13">
        <f t="shared" si="2"/>
        <v>170576.97</v>
      </c>
      <c r="J55" s="14">
        <v>175</v>
      </c>
      <c r="K55" s="13">
        <f t="shared" si="3"/>
        <v>185675</v>
      </c>
      <c r="L55" s="11">
        <f>G55-'13'!D55</f>
        <v>49</v>
      </c>
      <c r="M55" s="13">
        <f t="shared" si="4"/>
        <v>8575</v>
      </c>
    </row>
    <row r="56" spans="1:13">
      <c r="A56" s="7" t="s">
        <v>46</v>
      </c>
      <c r="B56" s="7" t="s">
        <v>13</v>
      </c>
      <c r="C56" s="9">
        <v>70</v>
      </c>
      <c r="D56" s="10">
        <v>18</v>
      </c>
      <c r="E56" s="10"/>
      <c r="F56" s="9">
        <f t="shared" si="0"/>
        <v>0</v>
      </c>
      <c r="G56" s="11">
        <f t="shared" si="1"/>
        <v>18</v>
      </c>
      <c r="H56" s="12">
        <v>744.99</v>
      </c>
      <c r="I56" s="13">
        <f t="shared" si="2"/>
        <v>13409.82</v>
      </c>
      <c r="J56" s="14">
        <v>790</v>
      </c>
      <c r="K56" s="13">
        <f t="shared" si="3"/>
        <v>14220</v>
      </c>
      <c r="L56" s="11">
        <f>G56-'13'!D56</f>
        <v>0</v>
      </c>
      <c r="M56" s="13">
        <f t="shared" si="4"/>
        <v>0</v>
      </c>
    </row>
    <row r="57" spans="1:13">
      <c r="A57" s="7" t="s">
        <v>47</v>
      </c>
      <c r="B57" s="7" t="s">
        <v>29</v>
      </c>
      <c r="C57" s="9">
        <v>30</v>
      </c>
      <c r="D57" s="10"/>
      <c r="E57" s="10"/>
      <c r="F57" s="9">
        <f t="shared" si="0"/>
        <v>0</v>
      </c>
      <c r="G57" s="11">
        <f t="shared" si="1"/>
        <v>0</v>
      </c>
      <c r="H57" s="12">
        <v>316.14999999999998</v>
      </c>
      <c r="I57" s="13">
        <f t="shared" si="2"/>
        <v>0</v>
      </c>
      <c r="J57" s="14">
        <v>336</v>
      </c>
      <c r="K57" s="13">
        <f t="shared" si="3"/>
        <v>0</v>
      </c>
      <c r="L57" s="11">
        <f>G57-'13'!D57</f>
        <v>0</v>
      </c>
      <c r="M57" s="13">
        <f t="shared" si="4"/>
        <v>0</v>
      </c>
    </row>
    <row r="58" spans="1:13">
      <c r="A58" s="7" t="s">
        <v>48</v>
      </c>
      <c r="B58" s="7" t="s">
        <v>13</v>
      </c>
      <c r="C58" s="9">
        <v>95</v>
      </c>
      <c r="D58" s="10">
        <v>1</v>
      </c>
      <c r="E58" s="10"/>
      <c r="F58" s="9">
        <f t="shared" si="0"/>
        <v>0</v>
      </c>
      <c r="G58" s="11">
        <f t="shared" si="1"/>
        <v>1</v>
      </c>
      <c r="H58" s="12">
        <v>1042.9000000000001</v>
      </c>
      <c r="I58" s="13">
        <f t="shared" si="2"/>
        <v>1042.9000000000001</v>
      </c>
      <c r="J58" s="14">
        <v>1105</v>
      </c>
      <c r="K58" s="13">
        <f t="shared" si="3"/>
        <v>1105</v>
      </c>
      <c r="L58" s="11">
        <f>G58-'13'!D58</f>
        <v>0</v>
      </c>
      <c r="M58" s="13">
        <f t="shared" si="4"/>
        <v>0</v>
      </c>
    </row>
    <row r="59" spans="1:13">
      <c r="A59" s="7" t="s">
        <v>49</v>
      </c>
      <c r="B59" s="7" t="s">
        <v>35</v>
      </c>
      <c r="C59" s="9">
        <v>28</v>
      </c>
      <c r="D59" s="10">
        <v>15</v>
      </c>
      <c r="E59" s="10"/>
      <c r="F59" s="9">
        <f t="shared" si="0"/>
        <v>0</v>
      </c>
      <c r="G59" s="11">
        <f t="shared" si="1"/>
        <v>15</v>
      </c>
      <c r="H59" s="12">
        <v>165.06</v>
      </c>
      <c r="I59" s="13">
        <f t="shared" si="2"/>
        <v>2475.9</v>
      </c>
      <c r="J59" s="14">
        <v>180</v>
      </c>
      <c r="K59" s="13">
        <f t="shared" si="3"/>
        <v>2700</v>
      </c>
      <c r="L59" s="11">
        <f>G59-'13'!D59</f>
        <v>7</v>
      </c>
      <c r="M59" s="13">
        <f t="shared" si="4"/>
        <v>1260</v>
      </c>
    </row>
    <row r="60" spans="1:13">
      <c r="A60" s="7" t="s">
        <v>50</v>
      </c>
      <c r="B60" s="7" t="s">
        <v>17</v>
      </c>
      <c r="C60" s="9">
        <v>70</v>
      </c>
      <c r="D60" s="10"/>
      <c r="E60" s="10"/>
      <c r="F60" s="9">
        <f t="shared" si="0"/>
        <v>0</v>
      </c>
      <c r="G60" s="11">
        <f t="shared" si="1"/>
        <v>0</v>
      </c>
      <c r="H60" s="12">
        <v>721.25</v>
      </c>
      <c r="I60" s="13">
        <f t="shared" si="2"/>
        <v>0</v>
      </c>
      <c r="J60" s="14">
        <v>771</v>
      </c>
      <c r="K60" s="13">
        <f t="shared" si="3"/>
        <v>0</v>
      </c>
      <c r="L60" s="11">
        <f>G60-'13'!D60</f>
        <v>0</v>
      </c>
      <c r="M60" s="13">
        <f t="shared" si="4"/>
        <v>0</v>
      </c>
    </row>
    <row r="61" spans="1:13">
      <c r="A61" s="7" t="s">
        <v>50</v>
      </c>
      <c r="B61" s="7" t="s">
        <v>18</v>
      </c>
      <c r="C61" s="9">
        <v>70</v>
      </c>
      <c r="D61" s="10"/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f>G61-'13'!D61</f>
        <v>0</v>
      </c>
      <c r="M61" s="13">
        <f t="shared" si="4"/>
        <v>0</v>
      </c>
    </row>
    <row r="62" spans="1:13">
      <c r="A62" s="7" t="s">
        <v>51</v>
      </c>
      <c r="B62" s="7" t="s">
        <v>17</v>
      </c>
      <c r="C62" s="9">
        <v>100</v>
      </c>
      <c r="D62" s="10">
        <v>115</v>
      </c>
      <c r="E62" s="10"/>
      <c r="F62" s="9">
        <f t="shared" si="0"/>
        <v>0</v>
      </c>
      <c r="G62" s="11">
        <f t="shared" si="1"/>
        <v>115</v>
      </c>
      <c r="H62" s="12">
        <v>790.89</v>
      </c>
      <c r="I62" s="13">
        <f t="shared" si="2"/>
        <v>90952.349999999991</v>
      </c>
      <c r="J62" s="14">
        <v>845</v>
      </c>
      <c r="K62" s="13">
        <f t="shared" si="3"/>
        <v>97175</v>
      </c>
      <c r="L62" s="11">
        <f>G62-'13'!D62</f>
        <v>77</v>
      </c>
      <c r="M62" s="13">
        <f t="shared" si="4"/>
        <v>65065</v>
      </c>
    </row>
    <row r="63" spans="1:13">
      <c r="A63" s="7" t="s">
        <v>51</v>
      </c>
      <c r="B63" s="7" t="s">
        <v>18</v>
      </c>
      <c r="C63" s="9">
        <v>100</v>
      </c>
      <c r="D63" s="10">
        <v>2</v>
      </c>
      <c r="E63" s="10"/>
      <c r="F63" s="9">
        <f t="shared" si="0"/>
        <v>0</v>
      </c>
      <c r="G63" s="11">
        <f t="shared" si="1"/>
        <v>2</v>
      </c>
      <c r="H63" s="12">
        <v>790.89</v>
      </c>
      <c r="I63" s="13">
        <f t="shared" si="2"/>
        <v>1581.78</v>
      </c>
      <c r="J63" s="14">
        <v>845</v>
      </c>
      <c r="K63" s="13">
        <f t="shared" si="3"/>
        <v>1690</v>
      </c>
      <c r="L63" s="11">
        <f>G63-'13'!D63</f>
        <v>2</v>
      </c>
      <c r="M63" s="13">
        <f t="shared" si="4"/>
        <v>1690</v>
      </c>
    </row>
    <row r="64" spans="1:13">
      <c r="A64" s="7" t="s">
        <v>51</v>
      </c>
      <c r="B64" s="7" t="s">
        <v>19</v>
      </c>
      <c r="C64" s="9">
        <v>100</v>
      </c>
      <c r="D64" s="10"/>
      <c r="E64" s="10"/>
      <c r="F64" s="9">
        <f t="shared" si="0"/>
        <v>0</v>
      </c>
      <c r="G64" s="11">
        <f t="shared" si="1"/>
        <v>0</v>
      </c>
      <c r="H64" s="12">
        <v>790.89</v>
      </c>
      <c r="I64" s="13">
        <f t="shared" si="2"/>
        <v>0</v>
      </c>
      <c r="J64" s="14">
        <v>845</v>
      </c>
      <c r="K64" s="13">
        <f t="shared" si="3"/>
        <v>0</v>
      </c>
      <c r="L64" s="11">
        <f>G64-'13'!D64</f>
        <v>0</v>
      </c>
      <c r="M64" s="13">
        <f t="shared" si="4"/>
        <v>0</v>
      </c>
    </row>
    <row r="65" spans="1:13">
      <c r="A65" s="7" t="s">
        <v>51</v>
      </c>
      <c r="B65" s="7" t="s">
        <v>20</v>
      </c>
      <c r="C65" s="9">
        <v>100</v>
      </c>
      <c r="D65" s="10"/>
      <c r="E65" s="11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f>G65-'13'!D65</f>
        <v>0</v>
      </c>
      <c r="M65" s="13">
        <f t="shared" si="4"/>
        <v>0</v>
      </c>
    </row>
    <row r="66" spans="1:13">
      <c r="A66" s="7" t="s">
        <v>51</v>
      </c>
      <c r="B66" s="7" t="s">
        <v>21</v>
      </c>
      <c r="C66" s="9">
        <v>100</v>
      </c>
      <c r="D66" s="10"/>
      <c r="E66" s="11"/>
      <c r="F66" s="15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f>G66-'13'!D66</f>
        <v>0</v>
      </c>
      <c r="M66" s="13">
        <f t="shared" si="4"/>
        <v>0</v>
      </c>
    </row>
    <row r="67" spans="1:13">
      <c r="A67" s="35" t="s">
        <v>52</v>
      </c>
      <c r="B67" s="36"/>
      <c r="C67" s="37"/>
      <c r="D67" s="16">
        <f>SUM(D2:D66)</f>
        <v>4004</v>
      </c>
      <c r="E67" s="17">
        <f>SUM(E2:E66)</f>
        <v>0</v>
      </c>
      <c r="F67" s="18">
        <f>SUM(F2:F66)</f>
        <v>0</v>
      </c>
      <c r="G67" s="17">
        <f>SUM(G2:G66)</f>
        <v>4004</v>
      </c>
      <c r="H67" s="19"/>
      <c r="I67" s="20">
        <f>SUM(I2:I66)</f>
        <v>1544962.67</v>
      </c>
      <c r="J67" s="21">
        <f>SUM(J2:J66)</f>
        <v>39088</v>
      </c>
      <c r="K67" s="22">
        <f>SUM(K2:K66)</f>
        <v>1653554</v>
      </c>
      <c r="L67" s="23">
        <f>SUM(L2:L66)</f>
        <v>399</v>
      </c>
      <c r="M67" s="24">
        <f>SUM(M2:M66)</f>
        <v>204230</v>
      </c>
    </row>
    <row r="70" spans="1:13">
      <c r="F70" s="31"/>
    </row>
    <row r="73" spans="1:13">
      <c r="I73" s="33"/>
      <c r="J73" s="32"/>
      <c r="K73" s="33"/>
    </row>
    <row r="74" spans="1:13">
      <c r="I74" s="33"/>
      <c r="J74" s="32"/>
      <c r="K74" s="33"/>
    </row>
    <row r="75" spans="1:13">
      <c r="I75" s="33"/>
      <c r="J75" s="29"/>
      <c r="K75" s="30"/>
    </row>
    <row r="76" spans="1:13">
      <c r="D76" s="25" t="s">
        <v>53</v>
      </c>
      <c r="I76" s="33"/>
      <c r="J76" s="34"/>
      <c r="K76" s="34"/>
    </row>
    <row r="77" spans="1:13">
      <c r="I77" s="33"/>
      <c r="J77" s="32"/>
      <c r="K77" s="33"/>
    </row>
    <row r="78" spans="1:13">
      <c r="F78" s="26"/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</row>
  </sheetData>
  <mergeCells count="1">
    <mergeCell ref="A67:C6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80"/>
  <sheetViews>
    <sheetView topLeftCell="A44" workbookViewId="0">
      <selection activeCell="O57" sqref="O57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386</v>
      </c>
      <c r="E2" s="11"/>
      <c r="F2" s="9">
        <f>E2*H2</f>
        <v>0</v>
      </c>
      <c r="G2" s="11">
        <f>D2+E2</f>
        <v>386</v>
      </c>
      <c r="H2" s="12">
        <v>308.13</v>
      </c>
      <c r="I2" s="13">
        <f>H2*D2</f>
        <v>118938.18</v>
      </c>
      <c r="J2" s="14">
        <v>326</v>
      </c>
      <c r="K2" s="13">
        <f>J2*D2</f>
        <v>125836</v>
      </c>
      <c r="L2" s="11">
        <f>G2-'14'!D2</f>
        <v>22</v>
      </c>
      <c r="M2" s="13">
        <f>L2*J2</f>
        <v>7172</v>
      </c>
    </row>
    <row r="3" spans="1:13">
      <c r="A3" s="7" t="s">
        <v>12</v>
      </c>
      <c r="B3" s="8" t="s">
        <v>14</v>
      </c>
      <c r="C3" s="9">
        <v>9</v>
      </c>
      <c r="D3" s="10">
        <v>92</v>
      </c>
      <c r="E3" s="11"/>
      <c r="F3" s="9">
        <f t="shared" ref="F3:F66" si="0">E3*H3</f>
        <v>0</v>
      </c>
      <c r="G3" s="11">
        <f t="shared" ref="G3:G66" si="1">D3+E3</f>
        <v>92</v>
      </c>
      <c r="H3" s="12">
        <v>308.19</v>
      </c>
      <c r="I3" s="13">
        <f t="shared" ref="I3:I66" si="2">H3*D3</f>
        <v>28353.48</v>
      </c>
      <c r="J3" s="14">
        <v>326</v>
      </c>
      <c r="K3" s="13">
        <f t="shared" ref="K3:K66" si="3">J3*D3</f>
        <v>29992</v>
      </c>
      <c r="L3" s="11">
        <f>G3-'14'!D3</f>
        <v>4</v>
      </c>
      <c r="M3" s="13">
        <f t="shared" ref="M3:M66" si="4">L3*J3</f>
        <v>1304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f>G4-'14'!D4</f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227</v>
      </c>
      <c r="E5" s="11"/>
      <c r="F5" s="9">
        <f t="shared" si="0"/>
        <v>0</v>
      </c>
      <c r="G5" s="11">
        <f t="shared" si="1"/>
        <v>227</v>
      </c>
      <c r="H5" s="12">
        <v>174.77</v>
      </c>
      <c r="I5" s="13">
        <f t="shared" si="2"/>
        <v>39672.79</v>
      </c>
      <c r="J5" s="14">
        <v>192</v>
      </c>
      <c r="K5" s="13">
        <f t="shared" si="3"/>
        <v>43584</v>
      </c>
      <c r="L5" s="11">
        <f>G5-'14'!D5</f>
        <v>14</v>
      </c>
      <c r="M5" s="13">
        <f t="shared" si="4"/>
        <v>2688</v>
      </c>
    </row>
    <row r="6" spans="1:13">
      <c r="A6" s="7" t="s">
        <v>16</v>
      </c>
      <c r="B6" s="8" t="s">
        <v>18</v>
      </c>
      <c r="C6" s="9">
        <v>10</v>
      </c>
      <c r="D6" s="10">
        <v>201</v>
      </c>
      <c r="E6" s="11"/>
      <c r="F6" s="9">
        <f t="shared" si="0"/>
        <v>0</v>
      </c>
      <c r="G6" s="11">
        <f t="shared" si="1"/>
        <v>201</v>
      </c>
      <c r="H6" s="12">
        <v>174.77</v>
      </c>
      <c r="I6" s="13">
        <f t="shared" si="2"/>
        <v>35128.770000000004</v>
      </c>
      <c r="J6" s="14">
        <v>192</v>
      </c>
      <c r="K6" s="13">
        <f t="shared" si="3"/>
        <v>38592</v>
      </c>
      <c r="L6" s="11">
        <f>G6-'14'!D6</f>
        <v>4</v>
      </c>
      <c r="M6" s="13">
        <f t="shared" si="4"/>
        <v>768</v>
      </c>
    </row>
    <row r="7" spans="1:13">
      <c r="A7" s="7" t="s">
        <v>16</v>
      </c>
      <c r="B7" s="8" t="s">
        <v>19</v>
      </c>
      <c r="C7" s="9">
        <v>10</v>
      </c>
      <c r="D7" s="10">
        <v>40</v>
      </c>
      <c r="E7" s="11"/>
      <c r="F7" s="9">
        <f t="shared" si="0"/>
        <v>0</v>
      </c>
      <c r="G7" s="11">
        <f t="shared" si="1"/>
        <v>40</v>
      </c>
      <c r="H7" s="12">
        <v>174.77</v>
      </c>
      <c r="I7" s="13">
        <f t="shared" si="2"/>
        <v>6990.8</v>
      </c>
      <c r="J7" s="14">
        <v>192</v>
      </c>
      <c r="K7" s="13">
        <f t="shared" si="3"/>
        <v>7680</v>
      </c>
      <c r="L7" s="11">
        <f>G7-'14'!D7</f>
        <v>1</v>
      </c>
      <c r="M7" s="13">
        <f t="shared" si="4"/>
        <v>192</v>
      </c>
    </row>
    <row r="8" spans="1:13">
      <c r="A8" s="7" t="s">
        <v>16</v>
      </c>
      <c r="B8" s="8" t="s">
        <v>20</v>
      </c>
      <c r="C8" s="9">
        <v>10</v>
      </c>
      <c r="D8" s="10">
        <v>44</v>
      </c>
      <c r="E8" s="11"/>
      <c r="F8" s="9">
        <f t="shared" si="0"/>
        <v>0</v>
      </c>
      <c r="G8" s="11">
        <f t="shared" si="1"/>
        <v>44</v>
      </c>
      <c r="H8" s="12">
        <v>174.77</v>
      </c>
      <c r="I8" s="13">
        <f t="shared" si="2"/>
        <v>7689.88</v>
      </c>
      <c r="J8" s="14">
        <v>192</v>
      </c>
      <c r="K8" s="13">
        <f t="shared" si="3"/>
        <v>8448</v>
      </c>
      <c r="L8" s="11">
        <f>G8-'14'!D8</f>
        <v>6</v>
      </c>
      <c r="M8" s="13">
        <f t="shared" si="4"/>
        <v>1152</v>
      </c>
    </row>
    <row r="9" spans="1:13">
      <c r="A9" s="7" t="s">
        <v>16</v>
      </c>
      <c r="B9" s="8" t="s">
        <v>21</v>
      </c>
      <c r="C9" s="9">
        <v>10</v>
      </c>
      <c r="D9" s="10">
        <v>141</v>
      </c>
      <c r="E9" s="11"/>
      <c r="F9" s="9">
        <f t="shared" si="0"/>
        <v>0</v>
      </c>
      <c r="G9" s="11">
        <f t="shared" si="1"/>
        <v>141</v>
      </c>
      <c r="H9" s="12">
        <v>174.77</v>
      </c>
      <c r="I9" s="13">
        <f t="shared" si="2"/>
        <v>24642.57</v>
      </c>
      <c r="J9" s="14">
        <v>192</v>
      </c>
      <c r="K9" s="13">
        <f t="shared" si="3"/>
        <v>27072</v>
      </c>
      <c r="L9" s="11">
        <f>G9-'14'!D9</f>
        <v>7</v>
      </c>
      <c r="M9" s="13">
        <f t="shared" si="4"/>
        <v>1344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f>G10-'14'!D10</f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20</v>
      </c>
      <c r="E11" s="11"/>
      <c r="F11" s="9">
        <f t="shared" si="0"/>
        <v>0</v>
      </c>
      <c r="G11" s="11">
        <f t="shared" si="1"/>
        <v>20</v>
      </c>
      <c r="H11" s="12">
        <v>470.8</v>
      </c>
      <c r="I11" s="13">
        <f t="shared" si="2"/>
        <v>9416</v>
      </c>
      <c r="J11" s="14">
        <v>505</v>
      </c>
      <c r="K11" s="13">
        <f t="shared" si="3"/>
        <v>10100</v>
      </c>
      <c r="L11" s="11">
        <f>G11-'14'!D11</f>
        <v>1</v>
      </c>
      <c r="M11" s="13">
        <f t="shared" si="4"/>
        <v>505</v>
      </c>
    </row>
    <row r="12" spans="1:13">
      <c r="A12" s="7" t="s">
        <v>22</v>
      </c>
      <c r="B12" s="8" t="s">
        <v>17</v>
      </c>
      <c r="C12" s="9">
        <v>20</v>
      </c>
      <c r="D12" s="10">
        <v>280</v>
      </c>
      <c r="E12" s="11"/>
      <c r="F12" s="9">
        <f>E12*H12</f>
        <v>0</v>
      </c>
      <c r="G12" s="11">
        <f t="shared" si="1"/>
        <v>280</v>
      </c>
      <c r="H12" s="12">
        <v>475.77</v>
      </c>
      <c r="I12" s="13">
        <f t="shared" si="2"/>
        <v>133215.6</v>
      </c>
      <c r="J12" s="14">
        <v>505</v>
      </c>
      <c r="K12" s="13">
        <f t="shared" si="3"/>
        <v>141400</v>
      </c>
      <c r="L12" s="11">
        <f>G12-'14'!D12</f>
        <v>98</v>
      </c>
      <c r="M12" s="13">
        <f t="shared" si="4"/>
        <v>49490</v>
      </c>
    </row>
    <row r="13" spans="1:13">
      <c r="A13" s="7" t="s">
        <v>22</v>
      </c>
      <c r="B13" s="8" t="s">
        <v>18</v>
      </c>
      <c r="C13" s="9">
        <v>20</v>
      </c>
      <c r="D13" s="10">
        <v>190</v>
      </c>
      <c r="E13" s="11"/>
      <c r="F13" s="9">
        <f t="shared" si="0"/>
        <v>0</v>
      </c>
      <c r="G13" s="11">
        <f t="shared" si="1"/>
        <v>190</v>
      </c>
      <c r="H13" s="12">
        <v>475.77</v>
      </c>
      <c r="I13" s="13">
        <f t="shared" si="2"/>
        <v>90396.3</v>
      </c>
      <c r="J13" s="14">
        <v>505</v>
      </c>
      <c r="K13" s="13">
        <f t="shared" si="3"/>
        <v>95950</v>
      </c>
      <c r="L13" s="11">
        <f>G13-'14'!D13</f>
        <v>41</v>
      </c>
      <c r="M13" s="13">
        <f t="shared" si="4"/>
        <v>20705</v>
      </c>
    </row>
    <row r="14" spans="1:13">
      <c r="A14" s="7" t="s">
        <v>22</v>
      </c>
      <c r="B14" s="8" t="s">
        <v>19</v>
      </c>
      <c r="C14" s="9">
        <v>20</v>
      </c>
      <c r="D14" s="10">
        <v>0</v>
      </c>
      <c r="E14" s="11">
        <v>5</v>
      </c>
      <c r="F14" s="9">
        <f t="shared" si="0"/>
        <v>2354</v>
      </c>
      <c r="G14" s="11">
        <f t="shared" si="1"/>
        <v>5</v>
      </c>
      <c r="H14" s="12">
        <v>470.8</v>
      </c>
      <c r="I14" s="13">
        <f t="shared" si="2"/>
        <v>0</v>
      </c>
      <c r="J14" s="14">
        <v>505</v>
      </c>
      <c r="K14" s="13">
        <f t="shared" si="3"/>
        <v>0</v>
      </c>
      <c r="L14" s="11">
        <f>G14-'14'!D14</f>
        <v>5</v>
      </c>
      <c r="M14" s="13">
        <f t="shared" si="4"/>
        <v>2525</v>
      </c>
    </row>
    <row r="15" spans="1:13">
      <c r="A15" s="7" t="s">
        <v>22</v>
      </c>
      <c r="B15" s="8" t="s">
        <v>20</v>
      </c>
      <c r="C15" s="9">
        <v>20</v>
      </c>
      <c r="D15" s="10">
        <v>15</v>
      </c>
      <c r="E15" s="11"/>
      <c r="F15" s="9">
        <f t="shared" si="0"/>
        <v>0</v>
      </c>
      <c r="G15" s="11">
        <f t="shared" si="1"/>
        <v>15</v>
      </c>
      <c r="H15" s="12">
        <v>470.8</v>
      </c>
      <c r="I15" s="13">
        <f t="shared" si="2"/>
        <v>7062</v>
      </c>
      <c r="J15" s="14">
        <v>505</v>
      </c>
      <c r="K15" s="13">
        <f t="shared" si="3"/>
        <v>7575</v>
      </c>
      <c r="L15" s="11">
        <f>G15-'14'!D15</f>
        <v>7</v>
      </c>
      <c r="M15" s="13">
        <f t="shared" si="4"/>
        <v>3535</v>
      </c>
    </row>
    <row r="16" spans="1:13">
      <c r="A16" s="7" t="s">
        <v>22</v>
      </c>
      <c r="B16" s="8" t="s">
        <v>21</v>
      </c>
      <c r="C16" s="9">
        <v>20</v>
      </c>
      <c r="D16" s="10"/>
      <c r="E16" s="11"/>
      <c r="F16" s="9">
        <f t="shared" si="0"/>
        <v>0</v>
      </c>
      <c r="G16" s="11">
        <f t="shared" si="1"/>
        <v>0</v>
      </c>
      <c r="H16" s="12">
        <v>470.8</v>
      </c>
      <c r="I16" s="13">
        <f t="shared" si="2"/>
        <v>0</v>
      </c>
      <c r="J16" s="14">
        <v>505</v>
      </c>
      <c r="K16" s="13">
        <f t="shared" si="3"/>
        <v>0</v>
      </c>
      <c r="L16" s="11">
        <f>G16-'14'!D16</f>
        <v>0</v>
      </c>
      <c r="M16" s="13">
        <f t="shared" si="4"/>
        <v>0</v>
      </c>
    </row>
    <row r="17" spans="1:13">
      <c r="A17" s="7" t="s">
        <v>22</v>
      </c>
      <c r="B17" s="8" t="s">
        <v>29</v>
      </c>
      <c r="C17" s="9">
        <v>11</v>
      </c>
      <c r="D17" s="10">
        <v>51</v>
      </c>
      <c r="E17" s="11"/>
      <c r="F17" s="9">
        <f t="shared" si="0"/>
        <v>0</v>
      </c>
      <c r="G17" s="11">
        <f t="shared" si="1"/>
        <v>51</v>
      </c>
      <c r="H17" s="12">
        <v>235.59</v>
      </c>
      <c r="I17" s="13">
        <f t="shared" si="2"/>
        <v>12015.09</v>
      </c>
      <c r="J17" s="14">
        <v>250</v>
      </c>
      <c r="K17" s="13">
        <f t="shared" si="3"/>
        <v>12750</v>
      </c>
      <c r="L17" s="11">
        <f>G17-'14'!D17</f>
        <v>8</v>
      </c>
      <c r="M17" s="13">
        <f t="shared" si="4"/>
        <v>2000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f>G18-'14'!D18</f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/>
      <c r="E19" s="11"/>
      <c r="F19" s="9">
        <f t="shared" si="0"/>
        <v>0</v>
      </c>
      <c r="G19" s="11">
        <f t="shared" si="1"/>
        <v>0</v>
      </c>
      <c r="H19" s="12">
        <v>204</v>
      </c>
      <c r="I19" s="13">
        <f t="shared" si="2"/>
        <v>0</v>
      </c>
      <c r="J19" s="14">
        <v>230</v>
      </c>
      <c r="K19" s="13">
        <f t="shared" si="3"/>
        <v>0</v>
      </c>
      <c r="L19" s="11">
        <f>G19-'14'!D19</f>
        <v>0</v>
      </c>
      <c r="M19" s="13">
        <f t="shared" si="4"/>
        <v>0</v>
      </c>
    </row>
    <row r="20" spans="1:13">
      <c r="A20" s="7" t="s">
        <v>22</v>
      </c>
      <c r="B20" s="8" t="s">
        <v>25</v>
      </c>
      <c r="C20" s="9">
        <v>10</v>
      </c>
      <c r="D20" s="10"/>
      <c r="E20" s="11"/>
      <c r="F20" s="9">
        <f t="shared" si="0"/>
        <v>0</v>
      </c>
      <c r="G20" s="11">
        <f t="shared" si="1"/>
        <v>0</v>
      </c>
      <c r="H20" s="12">
        <v>204</v>
      </c>
      <c r="I20" s="13">
        <f>H20*D20</f>
        <v>0</v>
      </c>
      <c r="J20" s="14">
        <v>230</v>
      </c>
      <c r="K20" s="13">
        <f t="shared" si="3"/>
        <v>0</v>
      </c>
      <c r="L20" s="11">
        <f>G20-'14'!D20</f>
        <v>0</v>
      </c>
      <c r="M20" s="13">
        <f t="shared" si="4"/>
        <v>0</v>
      </c>
    </row>
    <row r="21" spans="1:13">
      <c r="A21" s="7" t="s">
        <v>22</v>
      </c>
      <c r="B21" s="8" t="s">
        <v>26</v>
      </c>
      <c r="C21" s="9">
        <v>10</v>
      </c>
      <c r="D21" s="10">
        <v>25</v>
      </c>
      <c r="E21" s="11"/>
      <c r="F21" s="9">
        <f t="shared" si="0"/>
        <v>0</v>
      </c>
      <c r="G21" s="11">
        <f t="shared" si="1"/>
        <v>25</v>
      </c>
      <c r="H21" s="12">
        <v>204</v>
      </c>
      <c r="I21" s="13">
        <f t="shared" si="2"/>
        <v>5100</v>
      </c>
      <c r="J21" s="14">
        <v>230</v>
      </c>
      <c r="K21" s="13">
        <f t="shared" si="3"/>
        <v>5750</v>
      </c>
      <c r="L21" s="11">
        <f>G21-'14'!D21</f>
        <v>9</v>
      </c>
      <c r="M21" s="13">
        <f t="shared" si="4"/>
        <v>2070</v>
      </c>
    </row>
    <row r="22" spans="1:13">
      <c r="A22" s="7" t="s">
        <v>22</v>
      </c>
      <c r="B22" s="8" t="s">
        <v>13</v>
      </c>
      <c r="C22" s="9">
        <v>19</v>
      </c>
      <c r="D22" s="10"/>
      <c r="E22" s="11"/>
      <c r="F22" s="9">
        <f t="shared" si="0"/>
        <v>0</v>
      </c>
      <c r="G22" s="11">
        <f t="shared" si="1"/>
        <v>0</v>
      </c>
      <c r="H22" s="12">
        <v>474.46</v>
      </c>
      <c r="I22" s="13">
        <f t="shared" si="2"/>
        <v>0</v>
      </c>
      <c r="J22" s="14">
        <v>505</v>
      </c>
      <c r="K22" s="13">
        <f t="shared" si="3"/>
        <v>0</v>
      </c>
      <c r="L22" s="11">
        <f>G22-'14'!D22</f>
        <v>0</v>
      </c>
      <c r="M22" s="13">
        <f t="shared" si="4"/>
        <v>0</v>
      </c>
    </row>
    <row r="23" spans="1:13">
      <c r="A23" s="7" t="s">
        <v>22</v>
      </c>
      <c r="B23" s="8" t="s">
        <v>27</v>
      </c>
      <c r="C23" s="9">
        <v>24</v>
      </c>
      <c r="D23" s="10">
        <v>109</v>
      </c>
      <c r="E23" s="11"/>
      <c r="F23" s="9">
        <f t="shared" si="0"/>
        <v>0</v>
      </c>
      <c r="G23" s="11">
        <f t="shared" si="1"/>
        <v>109</v>
      </c>
      <c r="H23" s="12">
        <v>593.91999999999996</v>
      </c>
      <c r="I23" s="13">
        <f t="shared" si="2"/>
        <v>64737.279999999999</v>
      </c>
      <c r="J23" s="14">
        <v>630</v>
      </c>
      <c r="K23" s="13">
        <f t="shared" si="3"/>
        <v>68670</v>
      </c>
      <c r="L23" s="11">
        <f>G23-'14'!D23</f>
        <v>24</v>
      </c>
      <c r="M23" s="13">
        <f t="shared" si="4"/>
        <v>15120</v>
      </c>
    </row>
    <row r="24" spans="1:13">
      <c r="A24" s="7" t="s">
        <v>30</v>
      </c>
      <c r="B24" s="8" t="s">
        <v>17</v>
      </c>
      <c r="C24" s="9">
        <v>25</v>
      </c>
      <c r="D24" s="10">
        <v>75</v>
      </c>
      <c r="E24" s="10"/>
      <c r="F24" s="9">
        <f t="shared" si="0"/>
        <v>0</v>
      </c>
      <c r="G24" s="11">
        <f t="shared" si="1"/>
        <v>75</v>
      </c>
      <c r="H24" s="12">
        <v>453.3</v>
      </c>
      <c r="I24" s="13">
        <f t="shared" si="2"/>
        <v>33997.5</v>
      </c>
      <c r="J24" s="14">
        <v>493</v>
      </c>
      <c r="K24" s="13">
        <f t="shared" si="3"/>
        <v>36975</v>
      </c>
      <c r="L24" s="11">
        <f>G24-'14'!D24</f>
        <v>75</v>
      </c>
      <c r="M24" s="13">
        <f t="shared" si="4"/>
        <v>36975</v>
      </c>
    </row>
    <row r="25" spans="1:13">
      <c r="A25" s="7" t="s">
        <v>30</v>
      </c>
      <c r="B25" s="8" t="s">
        <v>18</v>
      </c>
      <c r="C25" s="9">
        <v>25</v>
      </c>
      <c r="D25" s="10">
        <v>20</v>
      </c>
      <c r="E25" s="10"/>
      <c r="F25" s="9">
        <f t="shared" si="0"/>
        <v>0</v>
      </c>
      <c r="G25" s="11">
        <f t="shared" si="1"/>
        <v>20</v>
      </c>
      <c r="H25" s="12">
        <v>453.3</v>
      </c>
      <c r="I25" s="13">
        <f t="shared" si="2"/>
        <v>9066</v>
      </c>
      <c r="J25" s="14">
        <v>493</v>
      </c>
      <c r="K25" s="13">
        <f t="shared" si="3"/>
        <v>9860</v>
      </c>
      <c r="L25" s="11">
        <f>G25-'14'!D25</f>
        <v>20</v>
      </c>
      <c r="M25" s="13">
        <f t="shared" si="4"/>
        <v>9860</v>
      </c>
    </row>
    <row r="26" spans="1:13">
      <c r="A26" s="7" t="s">
        <v>30</v>
      </c>
      <c r="B26" s="8" t="s">
        <v>20</v>
      </c>
      <c r="C26" s="9">
        <v>25</v>
      </c>
      <c r="D26" s="10"/>
      <c r="E26" s="10"/>
      <c r="F26" s="9">
        <f t="shared" si="0"/>
        <v>0</v>
      </c>
      <c r="G26" s="11">
        <f t="shared" si="1"/>
        <v>0</v>
      </c>
      <c r="H26" s="12">
        <v>453.3</v>
      </c>
      <c r="I26" s="13">
        <f t="shared" si="2"/>
        <v>0</v>
      </c>
      <c r="J26" s="14">
        <v>493</v>
      </c>
      <c r="K26" s="13">
        <f t="shared" si="3"/>
        <v>0</v>
      </c>
      <c r="L26" s="11">
        <f>G26-'14'!D26</f>
        <v>0</v>
      </c>
      <c r="M26" s="13">
        <f t="shared" si="4"/>
        <v>0</v>
      </c>
    </row>
    <row r="27" spans="1:13">
      <c r="A27" s="7" t="s">
        <v>30</v>
      </c>
      <c r="B27" s="8" t="s">
        <v>21</v>
      </c>
      <c r="C27" s="9">
        <v>25</v>
      </c>
      <c r="D27" s="10"/>
      <c r="E27" s="10"/>
      <c r="F27" s="9">
        <f t="shared" si="0"/>
        <v>0</v>
      </c>
      <c r="G27" s="11">
        <f t="shared" si="1"/>
        <v>0</v>
      </c>
      <c r="H27" s="12">
        <v>453.3</v>
      </c>
      <c r="I27" s="13">
        <f t="shared" si="2"/>
        <v>0</v>
      </c>
      <c r="J27" s="14">
        <v>493</v>
      </c>
      <c r="K27" s="13">
        <f t="shared" si="3"/>
        <v>0</v>
      </c>
      <c r="L27" s="11">
        <f>G27-'14'!D27</f>
        <v>0</v>
      </c>
      <c r="M27" s="13">
        <f t="shared" si="4"/>
        <v>0</v>
      </c>
    </row>
    <row r="28" spans="1:13">
      <c r="A28" s="7" t="s">
        <v>31</v>
      </c>
      <c r="B28" s="7" t="s">
        <v>17</v>
      </c>
      <c r="C28" s="9">
        <v>40</v>
      </c>
      <c r="D28" s="10"/>
      <c r="E28" s="10"/>
      <c r="F28" s="9">
        <f t="shared" si="0"/>
        <v>0</v>
      </c>
      <c r="G28" s="11">
        <f t="shared" si="1"/>
        <v>0</v>
      </c>
      <c r="H28" s="12">
        <v>821.36</v>
      </c>
      <c r="I28" s="13">
        <f t="shared" si="2"/>
        <v>0</v>
      </c>
      <c r="J28" s="14">
        <v>878</v>
      </c>
      <c r="K28" s="13">
        <f t="shared" si="3"/>
        <v>0</v>
      </c>
      <c r="L28" s="11">
        <f>G28-'14'!D28</f>
        <v>0</v>
      </c>
      <c r="M28" s="13">
        <f t="shared" si="4"/>
        <v>0</v>
      </c>
    </row>
    <row r="29" spans="1:13">
      <c r="A29" s="7" t="s">
        <v>31</v>
      </c>
      <c r="B29" s="7" t="s">
        <v>18</v>
      </c>
      <c r="C29" s="9">
        <v>40</v>
      </c>
      <c r="D29" s="10"/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f>G29-'14'!D29</f>
        <v>0</v>
      </c>
      <c r="M29" s="13">
        <f t="shared" si="4"/>
        <v>0</v>
      </c>
    </row>
    <row r="30" spans="1:13">
      <c r="A30" s="7" t="s">
        <v>31</v>
      </c>
      <c r="B30" s="7" t="s">
        <v>19</v>
      </c>
      <c r="C30" s="9">
        <v>40</v>
      </c>
      <c r="D30" s="10"/>
      <c r="E30" s="10"/>
      <c r="F30" s="9">
        <f t="shared" si="0"/>
        <v>0</v>
      </c>
      <c r="G30" s="11">
        <f t="shared" si="1"/>
        <v>0</v>
      </c>
      <c r="H30" s="12">
        <v>817.58</v>
      </c>
      <c r="I30" s="13">
        <f t="shared" si="2"/>
        <v>0</v>
      </c>
      <c r="J30" s="14">
        <v>878</v>
      </c>
      <c r="K30" s="13">
        <f t="shared" si="3"/>
        <v>0</v>
      </c>
      <c r="L30" s="11">
        <f>G30-'14'!D30</f>
        <v>0</v>
      </c>
      <c r="M30" s="13">
        <f t="shared" si="4"/>
        <v>0</v>
      </c>
    </row>
    <row r="31" spans="1:13">
      <c r="A31" s="7" t="s">
        <v>31</v>
      </c>
      <c r="B31" s="7" t="s">
        <v>20</v>
      </c>
      <c r="C31" s="9">
        <v>40</v>
      </c>
      <c r="D31" s="10"/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f>G31-'14'!D31</f>
        <v>0</v>
      </c>
      <c r="M31" s="13">
        <f t="shared" si="4"/>
        <v>0</v>
      </c>
    </row>
    <row r="32" spans="1:13">
      <c r="A32" s="7" t="s">
        <v>31</v>
      </c>
      <c r="B32" s="7" t="s">
        <v>21</v>
      </c>
      <c r="C32" s="9">
        <v>40</v>
      </c>
      <c r="D32" s="10"/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f>G32-'14'!D32</f>
        <v>0</v>
      </c>
      <c r="M32" s="13">
        <f t="shared" si="4"/>
        <v>0</v>
      </c>
    </row>
    <row r="33" spans="1:13">
      <c r="A33" s="7" t="s">
        <v>31</v>
      </c>
      <c r="B33" s="7" t="s">
        <v>32</v>
      </c>
      <c r="C33" s="9">
        <v>40</v>
      </c>
      <c r="D33" s="10"/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f>G33-'14'!D33</f>
        <v>0</v>
      </c>
      <c r="M33" s="13">
        <f t="shared" si="4"/>
        <v>0</v>
      </c>
    </row>
    <row r="34" spans="1:13">
      <c r="A34" s="7" t="s">
        <v>31</v>
      </c>
      <c r="B34" s="7" t="s">
        <v>33</v>
      </c>
      <c r="C34" s="9">
        <v>60</v>
      </c>
      <c r="D34" s="10">
        <v>307</v>
      </c>
      <c r="E34" s="10"/>
      <c r="F34" s="9">
        <f t="shared" si="0"/>
        <v>0</v>
      </c>
      <c r="G34" s="11">
        <f t="shared" si="1"/>
        <v>307</v>
      </c>
      <c r="H34" s="12">
        <v>1042.6500000000001</v>
      </c>
      <c r="I34" s="13">
        <f t="shared" si="2"/>
        <v>320093.55000000005</v>
      </c>
      <c r="J34" s="14">
        <v>1110</v>
      </c>
      <c r="K34" s="13">
        <f t="shared" si="3"/>
        <v>340770</v>
      </c>
      <c r="L34" s="11">
        <f>G34-'14'!D34</f>
        <v>11</v>
      </c>
      <c r="M34" s="13">
        <f t="shared" si="4"/>
        <v>12210</v>
      </c>
    </row>
    <row r="35" spans="1:13">
      <c r="A35" s="7" t="s">
        <v>34</v>
      </c>
      <c r="B35" s="7" t="s">
        <v>35</v>
      </c>
      <c r="C35" s="9">
        <v>7</v>
      </c>
      <c r="D35" s="10">
        <v>11</v>
      </c>
      <c r="E35" s="10"/>
      <c r="F35" s="9">
        <f t="shared" si="0"/>
        <v>0</v>
      </c>
      <c r="G35" s="11">
        <f t="shared" si="1"/>
        <v>11</v>
      </c>
      <c r="H35" s="12">
        <v>126.24</v>
      </c>
      <c r="I35" s="13">
        <f t="shared" si="2"/>
        <v>1388.6399999999999</v>
      </c>
      <c r="J35" s="14">
        <v>140</v>
      </c>
      <c r="K35" s="13">
        <f t="shared" si="3"/>
        <v>1540</v>
      </c>
      <c r="L35" s="11">
        <f>G35-'14'!D35</f>
        <v>11</v>
      </c>
      <c r="M35" s="13">
        <f t="shared" si="4"/>
        <v>1540</v>
      </c>
    </row>
    <row r="36" spans="1:13">
      <c r="A36" s="7" t="s">
        <v>36</v>
      </c>
      <c r="B36" s="7" t="s">
        <v>37</v>
      </c>
      <c r="C36" s="9">
        <v>125</v>
      </c>
      <c r="D36" s="10">
        <v>14</v>
      </c>
      <c r="E36" s="10"/>
      <c r="F36" s="9">
        <f t="shared" si="0"/>
        <v>0</v>
      </c>
      <c r="G36" s="11">
        <f t="shared" si="1"/>
        <v>14</v>
      </c>
      <c r="H36" s="12">
        <v>2050.54</v>
      </c>
      <c r="I36" s="13">
        <f t="shared" si="2"/>
        <v>28707.559999999998</v>
      </c>
      <c r="J36" s="14">
        <v>2175</v>
      </c>
      <c r="K36" s="13">
        <f t="shared" si="3"/>
        <v>30450</v>
      </c>
      <c r="L36" s="11">
        <f>G36-'14'!D36</f>
        <v>4</v>
      </c>
      <c r="M36" s="13">
        <f t="shared" si="4"/>
        <v>8700</v>
      </c>
    </row>
    <row r="37" spans="1:13">
      <c r="A37" s="7" t="s">
        <v>38</v>
      </c>
      <c r="B37" s="7" t="s">
        <v>17</v>
      </c>
      <c r="C37" s="9">
        <v>20</v>
      </c>
      <c r="D37" s="10">
        <v>2</v>
      </c>
      <c r="E37" s="10"/>
      <c r="F37" s="9">
        <f t="shared" si="0"/>
        <v>0</v>
      </c>
      <c r="G37" s="11">
        <f t="shared" si="1"/>
        <v>2</v>
      </c>
      <c r="H37" s="12">
        <v>399.19</v>
      </c>
      <c r="I37" s="13">
        <f t="shared" si="2"/>
        <v>798.38</v>
      </c>
      <c r="J37" s="14">
        <v>420</v>
      </c>
      <c r="K37" s="13">
        <f t="shared" si="3"/>
        <v>840</v>
      </c>
      <c r="L37" s="11">
        <f>G37-'14'!D37</f>
        <v>0</v>
      </c>
      <c r="M37" s="13">
        <f t="shared" si="4"/>
        <v>0</v>
      </c>
    </row>
    <row r="38" spans="1:13">
      <c r="A38" s="7" t="s">
        <v>38</v>
      </c>
      <c r="B38" s="7" t="s">
        <v>18</v>
      </c>
      <c r="C38" s="9">
        <v>20</v>
      </c>
      <c r="D38" s="10"/>
      <c r="E38" s="10"/>
      <c r="F38" s="9">
        <f t="shared" si="0"/>
        <v>0</v>
      </c>
      <c r="G38" s="11">
        <f t="shared" si="1"/>
        <v>0</v>
      </c>
      <c r="H38" s="12">
        <v>399.19</v>
      </c>
      <c r="I38" s="13">
        <f t="shared" si="2"/>
        <v>0</v>
      </c>
      <c r="J38" s="14">
        <v>420</v>
      </c>
      <c r="K38" s="13">
        <f t="shared" si="3"/>
        <v>0</v>
      </c>
      <c r="L38" s="11">
        <f>G38-'14'!D38</f>
        <v>0</v>
      </c>
      <c r="M38" s="13">
        <f t="shared" si="4"/>
        <v>0</v>
      </c>
    </row>
    <row r="39" spans="1:13">
      <c r="A39" s="7" t="s">
        <v>38</v>
      </c>
      <c r="B39" s="7" t="s">
        <v>21</v>
      </c>
      <c r="C39" s="9">
        <v>20</v>
      </c>
      <c r="D39" s="10"/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f>G39-'14'!D39</f>
        <v>0</v>
      </c>
      <c r="M39" s="13">
        <f t="shared" si="4"/>
        <v>0</v>
      </c>
    </row>
    <row r="40" spans="1:13">
      <c r="A40" s="7" t="s">
        <v>39</v>
      </c>
      <c r="B40" s="7" t="s">
        <v>35</v>
      </c>
      <c r="C40" s="9">
        <v>9</v>
      </c>
      <c r="D40" s="10">
        <v>47</v>
      </c>
      <c r="E40" s="10"/>
      <c r="F40" s="9">
        <f t="shared" si="0"/>
        <v>0</v>
      </c>
      <c r="G40" s="11">
        <f t="shared" si="1"/>
        <v>47</v>
      </c>
      <c r="H40" s="12">
        <v>174.19</v>
      </c>
      <c r="I40" s="13">
        <f t="shared" si="2"/>
        <v>8186.93</v>
      </c>
      <c r="J40" s="14">
        <v>185</v>
      </c>
      <c r="K40" s="13">
        <f t="shared" si="3"/>
        <v>8695</v>
      </c>
      <c r="L40" s="11">
        <f>G40-'14'!D40</f>
        <v>5</v>
      </c>
      <c r="M40" s="13">
        <f t="shared" si="4"/>
        <v>925</v>
      </c>
    </row>
    <row r="41" spans="1:13">
      <c r="A41" s="7" t="s">
        <v>40</v>
      </c>
      <c r="B41" s="7" t="s">
        <v>13</v>
      </c>
      <c r="C41" s="9">
        <v>35</v>
      </c>
      <c r="D41" s="10">
        <v>15</v>
      </c>
      <c r="E41" s="10"/>
      <c r="F41" s="9">
        <f t="shared" si="0"/>
        <v>0</v>
      </c>
      <c r="G41" s="11">
        <f t="shared" si="1"/>
        <v>15</v>
      </c>
      <c r="H41" s="12">
        <v>748.13</v>
      </c>
      <c r="I41" s="13">
        <f t="shared" si="2"/>
        <v>11221.95</v>
      </c>
      <c r="J41" s="14">
        <v>795</v>
      </c>
      <c r="K41" s="13">
        <f t="shared" si="3"/>
        <v>11925</v>
      </c>
      <c r="L41" s="11">
        <f>G41-'14'!D41</f>
        <v>4</v>
      </c>
      <c r="M41" s="13">
        <f t="shared" si="4"/>
        <v>3180</v>
      </c>
    </row>
    <row r="42" spans="1:13">
      <c r="A42" s="7" t="s">
        <v>41</v>
      </c>
      <c r="B42" s="7" t="s">
        <v>17</v>
      </c>
      <c r="C42" s="9">
        <v>40</v>
      </c>
      <c r="D42" s="10">
        <v>41</v>
      </c>
      <c r="E42" s="10"/>
      <c r="F42" s="9">
        <f t="shared" si="0"/>
        <v>0</v>
      </c>
      <c r="G42" s="11">
        <f t="shared" si="1"/>
        <v>41</v>
      </c>
      <c r="H42" s="12">
        <v>842.86</v>
      </c>
      <c r="I42" s="13">
        <f t="shared" si="2"/>
        <v>34557.26</v>
      </c>
      <c r="J42" s="14">
        <v>900</v>
      </c>
      <c r="K42" s="13">
        <f t="shared" si="3"/>
        <v>36900</v>
      </c>
      <c r="L42" s="11">
        <f>G42-'14'!D42</f>
        <v>6</v>
      </c>
      <c r="M42" s="13">
        <f t="shared" si="4"/>
        <v>5400</v>
      </c>
    </row>
    <row r="43" spans="1:13">
      <c r="A43" s="7" t="s">
        <v>41</v>
      </c>
      <c r="B43" s="7" t="s">
        <v>18</v>
      </c>
      <c r="C43" s="9">
        <v>40</v>
      </c>
      <c r="D43" s="10">
        <v>17</v>
      </c>
      <c r="E43" s="10"/>
      <c r="F43" s="9">
        <f t="shared" si="0"/>
        <v>0</v>
      </c>
      <c r="G43" s="11">
        <f t="shared" si="1"/>
        <v>17</v>
      </c>
      <c r="H43" s="12">
        <v>842.86</v>
      </c>
      <c r="I43" s="13">
        <f t="shared" si="2"/>
        <v>14328.62</v>
      </c>
      <c r="J43" s="14">
        <v>900</v>
      </c>
      <c r="K43" s="13">
        <f t="shared" si="3"/>
        <v>15300</v>
      </c>
      <c r="L43" s="11">
        <f>G43-'14'!D43</f>
        <v>3</v>
      </c>
      <c r="M43" s="13">
        <f t="shared" si="4"/>
        <v>2700</v>
      </c>
    </row>
    <row r="44" spans="1:13">
      <c r="A44" s="7" t="s">
        <v>41</v>
      </c>
      <c r="B44" s="7" t="s">
        <v>19</v>
      </c>
      <c r="C44" s="9">
        <v>40</v>
      </c>
      <c r="D44" s="10"/>
      <c r="E44" s="10"/>
      <c r="F44" s="9">
        <f t="shared" si="0"/>
        <v>0</v>
      </c>
      <c r="G44" s="11">
        <f t="shared" si="1"/>
        <v>0</v>
      </c>
      <c r="H44" s="12">
        <v>839.68</v>
      </c>
      <c r="I44" s="13">
        <f t="shared" si="2"/>
        <v>0</v>
      </c>
      <c r="J44" s="14">
        <v>900</v>
      </c>
      <c r="K44" s="13">
        <f t="shared" si="3"/>
        <v>0</v>
      </c>
      <c r="L44" s="11">
        <f>G44-'14'!D44</f>
        <v>0</v>
      </c>
      <c r="M44" s="13">
        <f t="shared" si="4"/>
        <v>0</v>
      </c>
    </row>
    <row r="45" spans="1:13">
      <c r="A45" s="7" t="s">
        <v>41</v>
      </c>
      <c r="B45" s="7" t="s">
        <v>20</v>
      </c>
      <c r="C45" s="9">
        <v>40</v>
      </c>
      <c r="D45" s="10"/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f>G45-'14'!D45</f>
        <v>0</v>
      </c>
      <c r="M45" s="13">
        <f t="shared" si="4"/>
        <v>0</v>
      </c>
    </row>
    <row r="46" spans="1:13">
      <c r="A46" s="7" t="s">
        <v>41</v>
      </c>
      <c r="B46" s="7" t="s">
        <v>21</v>
      </c>
      <c r="C46" s="9">
        <v>40</v>
      </c>
      <c r="D46" s="10"/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f>G46-'14'!D46</f>
        <v>0</v>
      </c>
      <c r="M46" s="13">
        <f t="shared" si="4"/>
        <v>0</v>
      </c>
    </row>
    <row r="47" spans="1:13">
      <c r="A47" s="7" t="s">
        <v>42</v>
      </c>
      <c r="B47" s="7" t="s">
        <v>29</v>
      </c>
      <c r="C47" s="9">
        <v>18</v>
      </c>
      <c r="D47" s="10">
        <v>19</v>
      </c>
      <c r="E47" s="10"/>
      <c r="F47" s="9">
        <f t="shared" si="0"/>
        <v>0</v>
      </c>
      <c r="G47" s="11">
        <f t="shared" si="1"/>
        <v>19</v>
      </c>
      <c r="H47" s="12">
        <v>375.68</v>
      </c>
      <c r="I47" s="13">
        <f t="shared" si="2"/>
        <v>7137.92</v>
      </c>
      <c r="J47" s="14">
        <v>400</v>
      </c>
      <c r="K47" s="13">
        <f t="shared" si="3"/>
        <v>7600</v>
      </c>
      <c r="L47" s="11">
        <f>G47-'14'!D47</f>
        <v>4</v>
      </c>
      <c r="M47" s="13">
        <f t="shared" si="4"/>
        <v>1600</v>
      </c>
    </row>
    <row r="48" spans="1:13">
      <c r="A48" s="7" t="s">
        <v>54</v>
      </c>
      <c r="B48" s="7" t="s">
        <v>44</v>
      </c>
      <c r="C48" s="9">
        <v>50</v>
      </c>
      <c r="D48" s="11">
        <v>8</v>
      </c>
      <c r="E48" s="11"/>
      <c r="F48" s="9">
        <f t="shared" si="0"/>
        <v>0</v>
      </c>
      <c r="G48" s="11">
        <f t="shared" si="1"/>
        <v>8</v>
      </c>
      <c r="H48" s="12">
        <v>670.32</v>
      </c>
      <c r="I48" s="13">
        <f t="shared" si="2"/>
        <v>5362.56</v>
      </c>
      <c r="J48" s="14">
        <v>710</v>
      </c>
      <c r="K48" s="13">
        <f t="shared" si="3"/>
        <v>5680</v>
      </c>
      <c r="L48" s="11">
        <f>G48-'14'!D48</f>
        <v>7</v>
      </c>
      <c r="M48" s="13">
        <f t="shared" si="4"/>
        <v>4970</v>
      </c>
    </row>
    <row r="49" spans="1:13">
      <c r="A49" s="7" t="s">
        <v>43</v>
      </c>
      <c r="B49" s="7" t="s">
        <v>17</v>
      </c>
      <c r="C49" s="9">
        <v>50</v>
      </c>
      <c r="D49" s="10">
        <v>125</v>
      </c>
      <c r="E49" s="10"/>
      <c r="F49" s="9">
        <f t="shared" si="0"/>
        <v>0</v>
      </c>
      <c r="G49" s="11">
        <f t="shared" si="1"/>
        <v>125</v>
      </c>
      <c r="H49" s="12">
        <v>661.22</v>
      </c>
      <c r="I49" s="13">
        <f t="shared" si="2"/>
        <v>82652.5</v>
      </c>
      <c r="J49" s="14">
        <v>710</v>
      </c>
      <c r="K49" s="13">
        <f t="shared" si="3"/>
        <v>88750</v>
      </c>
      <c r="L49" s="11">
        <f>G49-'14'!D49</f>
        <v>21</v>
      </c>
      <c r="M49" s="13">
        <f t="shared" si="4"/>
        <v>14910</v>
      </c>
    </row>
    <row r="50" spans="1:13">
      <c r="A50" s="7" t="s">
        <v>43</v>
      </c>
      <c r="B50" s="7" t="s">
        <v>18</v>
      </c>
      <c r="C50" s="9">
        <v>50</v>
      </c>
      <c r="D50" s="10">
        <v>3</v>
      </c>
      <c r="E50" s="10"/>
      <c r="F50" s="9">
        <f t="shared" si="0"/>
        <v>0</v>
      </c>
      <c r="G50" s="11">
        <f t="shared" si="1"/>
        <v>3</v>
      </c>
      <c r="H50" s="12">
        <v>661.22</v>
      </c>
      <c r="I50" s="13">
        <f t="shared" si="2"/>
        <v>1983.66</v>
      </c>
      <c r="J50" s="14">
        <v>710</v>
      </c>
      <c r="K50" s="13">
        <f t="shared" si="3"/>
        <v>2130</v>
      </c>
      <c r="L50" s="11">
        <f>G50-'14'!D50</f>
        <v>3</v>
      </c>
      <c r="M50" s="13">
        <f t="shared" si="4"/>
        <v>2130</v>
      </c>
    </row>
    <row r="51" spans="1:13">
      <c r="A51" s="7" t="s">
        <v>43</v>
      </c>
      <c r="B51" s="7" t="s">
        <v>19</v>
      </c>
      <c r="C51" s="9">
        <v>50</v>
      </c>
      <c r="D51" s="10"/>
      <c r="E51" s="10"/>
      <c r="F51" s="9">
        <f t="shared" si="0"/>
        <v>0</v>
      </c>
      <c r="G51" s="11">
        <f t="shared" si="1"/>
        <v>0</v>
      </c>
      <c r="H51" s="12">
        <v>661.22</v>
      </c>
      <c r="I51" s="13">
        <f t="shared" si="2"/>
        <v>0</v>
      </c>
      <c r="J51" s="14">
        <v>710</v>
      </c>
      <c r="K51" s="13">
        <f t="shared" si="3"/>
        <v>0</v>
      </c>
      <c r="L51" s="11">
        <f>G51-'14'!D51</f>
        <v>0</v>
      </c>
      <c r="M51" s="13">
        <f t="shared" si="4"/>
        <v>0</v>
      </c>
    </row>
    <row r="52" spans="1:13">
      <c r="A52" s="7" t="s">
        <v>43</v>
      </c>
      <c r="B52" s="7" t="s">
        <v>20</v>
      </c>
      <c r="C52" s="9">
        <v>50</v>
      </c>
      <c r="D52" s="10"/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f>G52-'14'!D52</f>
        <v>0</v>
      </c>
      <c r="M52" s="13">
        <f t="shared" si="4"/>
        <v>0</v>
      </c>
    </row>
    <row r="53" spans="1:13">
      <c r="A53" s="7" t="s">
        <v>43</v>
      </c>
      <c r="B53" s="7" t="s">
        <v>21</v>
      </c>
      <c r="C53" s="9">
        <v>50</v>
      </c>
      <c r="D53" s="10"/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f>G53-'14'!D53</f>
        <v>0</v>
      </c>
      <c r="M53" s="13">
        <f t="shared" si="4"/>
        <v>0</v>
      </c>
    </row>
    <row r="54" spans="1:13">
      <c r="A54" s="7" t="s">
        <v>43</v>
      </c>
      <c r="B54" s="7" t="s">
        <v>44</v>
      </c>
      <c r="C54" s="9">
        <v>85</v>
      </c>
      <c r="D54" s="10">
        <v>3</v>
      </c>
      <c r="E54" s="10"/>
      <c r="F54" s="9">
        <f t="shared" si="0"/>
        <v>0</v>
      </c>
      <c r="G54" s="11">
        <f t="shared" si="1"/>
        <v>3</v>
      </c>
      <c r="H54" s="12">
        <v>797.07</v>
      </c>
      <c r="I54" s="13">
        <f t="shared" si="2"/>
        <v>2391.21</v>
      </c>
      <c r="J54" s="14">
        <v>845</v>
      </c>
      <c r="K54" s="13">
        <f t="shared" si="3"/>
        <v>2535</v>
      </c>
      <c r="L54" s="11">
        <f>G54-'14'!D54</f>
        <v>0</v>
      </c>
      <c r="M54" s="13">
        <f t="shared" si="4"/>
        <v>0</v>
      </c>
    </row>
    <row r="55" spans="1:13">
      <c r="A55" s="7" t="s">
        <v>45</v>
      </c>
      <c r="B55" s="7" t="s">
        <v>35</v>
      </c>
      <c r="C55" s="9">
        <v>18</v>
      </c>
      <c r="D55" s="10">
        <v>1012</v>
      </c>
      <c r="E55" s="10"/>
      <c r="F55" s="9">
        <f t="shared" si="0"/>
        <v>0</v>
      </c>
      <c r="G55" s="11">
        <f t="shared" si="1"/>
        <v>1012</v>
      </c>
      <c r="H55" s="12">
        <v>160.77000000000001</v>
      </c>
      <c r="I55" s="13">
        <f t="shared" si="2"/>
        <v>162699.24000000002</v>
      </c>
      <c r="J55" s="14">
        <v>175</v>
      </c>
      <c r="K55" s="13">
        <f t="shared" si="3"/>
        <v>177100</v>
      </c>
      <c r="L55" s="11">
        <f>G55-'14'!D55</f>
        <v>71</v>
      </c>
      <c r="M55" s="13">
        <f t="shared" si="4"/>
        <v>12425</v>
      </c>
    </row>
    <row r="56" spans="1:13">
      <c r="A56" s="7" t="s">
        <v>46</v>
      </c>
      <c r="B56" s="7" t="s">
        <v>13</v>
      </c>
      <c r="C56" s="9">
        <v>70</v>
      </c>
      <c r="D56" s="10">
        <v>18</v>
      </c>
      <c r="E56" s="10"/>
      <c r="F56" s="9">
        <f t="shared" si="0"/>
        <v>0</v>
      </c>
      <c r="G56" s="11">
        <f t="shared" si="1"/>
        <v>18</v>
      </c>
      <c r="H56" s="12">
        <v>744.99</v>
      </c>
      <c r="I56" s="13">
        <f t="shared" si="2"/>
        <v>13409.82</v>
      </c>
      <c r="J56" s="14">
        <v>790</v>
      </c>
      <c r="K56" s="13">
        <f t="shared" si="3"/>
        <v>14220</v>
      </c>
      <c r="L56" s="11">
        <f>G56-'14'!D56</f>
        <v>0</v>
      </c>
      <c r="M56" s="13">
        <f t="shared" si="4"/>
        <v>0</v>
      </c>
    </row>
    <row r="57" spans="1:13">
      <c r="A57" s="7" t="s">
        <v>47</v>
      </c>
      <c r="B57" s="7" t="s">
        <v>29</v>
      </c>
      <c r="C57" s="9">
        <v>30</v>
      </c>
      <c r="D57" s="10"/>
      <c r="E57" s="10"/>
      <c r="F57" s="9">
        <f t="shared" si="0"/>
        <v>0</v>
      </c>
      <c r="G57" s="11">
        <f t="shared" si="1"/>
        <v>0</v>
      </c>
      <c r="H57" s="12">
        <v>316.14999999999998</v>
      </c>
      <c r="I57" s="13">
        <f t="shared" si="2"/>
        <v>0</v>
      </c>
      <c r="J57" s="14">
        <v>336</v>
      </c>
      <c r="K57" s="13">
        <f t="shared" si="3"/>
        <v>0</v>
      </c>
      <c r="L57" s="11">
        <f>G57-'14'!D57</f>
        <v>0</v>
      </c>
      <c r="M57" s="13">
        <f t="shared" si="4"/>
        <v>0</v>
      </c>
    </row>
    <row r="58" spans="1:13">
      <c r="A58" s="7" t="s">
        <v>48</v>
      </c>
      <c r="B58" s="7" t="s">
        <v>13</v>
      </c>
      <c r="C58" s="9">
        <v>95</v>
      </c>
      <c r="D58" s="10">
        <v>1</v>
      </c>
      <c r="E58" s="10"/>
      <c r="F58" s="9">
        <f t="shared" si="0"/>
        <v>0</v>
      </c>
      <c r="G58" s="11">
        <f t="shared" si="1"/>
        <v>1</v>
      </c>
      <c r="H58" s="12">
        <v>1042.9000000000001</v>
      </c>
      <c r="I58" s="13">
        <f t="shared" si="2"/>
        <v>1042.9000000000001</v>
      </c>
      <c r="J58" s="14">
        <v>1105</v>
      </c>
      <c r="K58" s="13">
        <f t="shared" si="3"/>
        <v>1105</v>
      </c>
      <c r="L58" s="11">
        <f>G58-'14'!D58</f>
        <v>1</v>
      </c>
      <c r="M58" s="13">
        <f t="shared" si="4"/>
        <v>1105</v>
      </c>
    </row>
    <row r="59" spans="1:13">
      <c r="A59" s="7" t="s">
        <v>49</v>
      </c>
      <c r="B59" s="7" t="s">
        <v>35</v>
      </c>
      <c r="C59" s="9">
        <v>28</v>
      </c>
      <c r="D59" s="10">
        <v>8</v>
      </c>
      <c r="E59" s="10"/>
      <c r="F59" s="9">
        <f t="shared" si="0"/>
        <v>0</v>
      </c>
      <c r="G59" s="11">
        <f t="shared" si="1"/>
        <v>8</v>
      </c>
      <c r="H59" s="12">
        <v>165.06</v>
      </c>
      <c r="I59" s="13">
        <f t="shared" si="2"/>
        <v>1320.48</v>
      </c>
      <c r="J59" s="14">
        <v>180</v>
      </c>
      <c r="K59" s="13">
        <f t="shared" si="3"/>
        <v>1440</v>
      </c>
      <c r="L59" s="11">
        <f>G59-'14'!D59</f>
        <v>6</v>
      </c>
      <c r="M59" s="13">
        <f t="shared" si="4"/>
        <v>1080</v>
      </c>
    </row>
    <row r="60" spans="1:13">
      <c r="A60" s="7" t="s">
        <v>50</v>
      </c>
      <c r="B60" s="7" t="s">
        <v>17</v>
      </c>
      <c r="C60" s="9">
        <v>70</v>
      </c>
      <c r="D60" s="10"/>
      <c r="E60" s="10"/>
      <c r="F60" s="9">
        <f t="shared" si="0"/>
        <v>0</v>
      </c>
      <c r="G60" s="11">
        <f t="shared" si="1"/>
        <v>0</v>
      </c>
      <c r="H60" s="12">
        <v>721.25</v>
      </c>
      <c r="I60" s="13">
        <f t="shared" si="2"/>
        <v>0</v>
      </c>
      <c r="J60" s="14">
        <v>771</v>
      </c>
      <c r="K60" s="13">
        <f t="shared" si="3"/>
        <v>0</v>
      </c>
      <c r="L60" s="11">
        <f>G60-'14'!D60</f>
        <v>0</v>
      </c>
      <c r="M60" s="13">
        <f t="shared" si="4"/>
        <v>0</v>
      </c>
    </row>
    <row r="61" spans="1:13">
      <c r="A61" s="7" t="s">
        <v>50</v>
      </c>
      <c r="B61" s="7" t="s">
        <v>18</v>
      </c>
      <c r="C61" s="9">
        <v>70</v>
      </c>
      <c r="D61" s="10"/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f>G61-'14'!D61</f>
        <v>0</v>
      </c>
      <c r="M61" s="13">
        <f t="shared" si="4"/>
        <v>0</v>
      </c>
    </row>
    <row r="62" spans="1:13">
      <c r="A62" s="7" t="s">
        <v>51</v>
      </c>
      <c r="B62" s="7" t="s">
        <v>17</v>
      </c>
      <c r="C62" s="9">
        <v>100</v>
      </c>
      <c r="D62" s="10">
        <v>38</v>
      </c>
      <c r="E62" s="10">
        <v>73</v>
      </c>
      <c r="F62" s="9">
        <f t="shared" si="0"/>
        <v>57734.97</v>
      </c>
      <c r="G62" s="11">
        <f t="shared" si="1"/>
        <v>111</v>
      </c>
      <c r="H62" s="12">
        <v>790.89</v>
      </c>
      <c r="I62" s="13">
        <f t="shared" si="2"/>
        <v>30053.82</v>
      </c>
      <c r="J62" s="14">
        <v>845</v>
      </c>
      <c r="K62" s="13">
        <f t="shared" si="3"/>
        <v>32110</v>
      </c>
      <c r="L62" s="11">
        <f>G62-'14'!D62</f>
        <v>92</v>
      </c>
      <c r="M62" s="13">
        <f t="shared" si="4"/>
        <v>77740</v>
      </c>
    </row>
    <row r="63" spans="1:13">
      <c r="A63" s="7" t="s">
        <v>51</v>
      </c>
      <c r="B63" s="7" t="s">
        <v>18</v>
      </c>
      <c r="C63" s="9">
        <v>100</v>
      </c>
      <c r="D63" s="10">
        <v>0</v>
      </c>
      <c r="E63" s="10">
        <v>67</v>
      </c>
      <c r="F63" s="9">
        <f t="shared" si="0"/>
        <v>52989.63</v>
      </c>
      <c r="G63" s="11">
        <f t="shared" si="1"/>
        <v>67</v>
      </c>
      <c r="H63" s="12">
        <v>790.89</v>
      </c>
      <c r="I63" s="13">
        <f t="shared" si="2"/>
        <v>0</v>
      </c>
      <c r="J63" s="14">
        <v>845</v>
      </c>
      <c r="K63" s="13">
        <f t="shared" si="3"/>
        <v>0</v>
      </c>
      <c r="L63" s="11">
        <f>G63-'14'!D63</f>
        <v>52</v>
      </c>
      <c r="M63" s="13">
        <f t="shared" si="4"/>
        <v>43940</v>
      </c>
    </row>
    <row r="64" spans="1:13">
      <c r="A64" s="7" t="s">
        <v>51</v>
      </c>
      <c r="B64" s="7" t="s">
        <v>19</v>
      </c>
      <c r="C64" s="9">
        <v>100</v>
      </c>
      <c r="D64" s="10"/>
      <c r="E64" s="10"/>
      <c r="F64" s="9">
        <f t="shared" si="0"/>
        <v>0</v>
      </c>
      <c r="G64" s="11">
        <f t="shared" si="1"/>
        <v>0</v>
      </c>
      <c r="H64" s="12">
        <v>790.89</v>
      </c>
      <c r="I64" s="13">
        <f t="shared" si="2"/>
        <v>0</v>
      </c>
      <c r="J64" s="14">
        <v>845</v>
      </c>
      <c r="K64" s="13">
        <f t="shared" si="3"/>
        <v>0</v>
      </c>
      <c r="L64" s="11">
        <f>G64-'14'!D64</f>
        <v>0</v>
      </c>
      <c r="M64" s="13">
        <f t="shared" si="4"/>
        <v>0</v>
      </c>
    </row>
    <row r="65" spans="1:13">
      <c r="A65" s="7" t="s">
        <v>51</v>
      </c>
      <c r="B65" s="7" t="s">
        <v>20</v>
      </c>
      <c r="C65" s="9">
        <v>100</v>
      </c>
      <c r="D65" s="10"/>
      <c r="E65" s="11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f>G65-'14'!D65</f>
        <v>0</v>
      </c>
      <c r="M65" s="13">
        <f t="shared" si="4"/>
        <v>0</v>
      </c>
    </row>
    <row r="66" spans="1:13">
      <c r="A66" s="7" t="s">
        <v>51</v>
      </c>
      <c r="B66" s="7" t="s">
        <v>21</v>
      </c>
      <c r="C66" s="9">
        <v>100</v>
      </c>
      <c r="D66" s="10"/>
      <c r="E66" s="11"/>
      <c r="F66" s="15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f>G66-'14'!D66</f>
        <v>0</v>
      </c>
      <c r="M66" s="13">
        <f t="shared" si="4"/>
        <v>0</v>
      </c>
    </row>
    <row r="67" spans="1:13">
      <c r="A67" s="35" t="s">
        <v>52</v>
      </c>
      <c r="B67" s="36"/>
      <c r="C67" s="37"/>
      <c r="D67" s="16">
        <f>SUM(D2:D66)</f>
        <v>3605</v>
      </c>
      <c r="E67" s="17">
        <f>SUM(E2:E66)</f>
        <v>145</v>
      </c>
      <c r="F67" s="18">
        <f>SUM(F2:F66)</f>
        <v>113078.6</v>
      </c>
      <c r="G67" s="17">
        <f>SUM(G2:G66)</f>
        <v>3750</v>
      </c>
      <c r="H67" s="19"/>
      <c r="I67" s="20">
        <f>SUM(I2:I66)</f>
        <v>1353759.2400000002</v>
      </c>
      <c r="J67" s="21">
        <f>SUM(J2:J66)</f>
        <v>39088</v>
      </c>
      <c r="K67" s="22">
        <f>SUM(K2:K66)</f>
        <v>1449324</v>
      </c>
      <c r="L67" s="23">
        <f>SUM(L2:L66)</f>
        <v>647</v>
      </c>
      <c r="M67" s="24">
        <f>SUM(M2:M66)</f>
        <v>351960</v>
      </c>
    </row>
    <row r="70" spans="1:13">
      <c r="F70" s="31"/>
    </row>
    <row r="73" spans="1:13">
      <c r="I73" s="33"/>
      <c r="J73" s="32"/>
      <c r="K73" s="33"/>
    </row>
    <row r="74" spans="1:13">
      <c r="I74" s="33"/>
      <c r="J74" s="32"/>
      <c r="K74" s="33"/>
    </row>
    <row r="75" spans="1:13">
      <c r="I75" s="33"/>
      <c r="J75" s="29"/>
      <c r="K75" s="30"/>
    </row>
    <row r="76" spans="1:13">
      <c r="D76" s="25" t="s">
        <v>53</v>
      </c>
      <c r="I76" s="33"/>
      <c r="J76" s="34"/>
      <c r="K76" s="34"/>
    </row>
    <row r="77" spans="1:13">
      <c r="I77" s="33"/>
      <c r="J77" s="32"/>
      <c r="K77" s="33"/>
    </row>
    <row r="78" spans="1:13">
      <c r="F78" s="26"/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</row>
  </sheetData>
  <mergeCells count="1">
    <mergeCell ref="A67:C6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80"/>
  <sheetViews>
    <sheetView topLeftCell="A44" workbookViewId="0">
      <selection activeCell="O64" sqref="O64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364</v>
      </c>
      <c r="E2" s="11"/>
      <c r="F2" s="9">
        <f>E2*H2</f>
        <v>0</v>
      </c>
      <c r="G2" s="11">
        <f>D2+E2</f>
        <v>364</v>
      </c>
      <c r="H2" s="12">
        <v>308.13</v>
      </c>
      <c r="I2" s="13">
        <f>H2*D2</f>
        <v>112159.31999999999</v>
      </c>
      <c r="J2" s="14">
        <v>326</v>
      </c>
      <c r="K2" s="13">
        <f>J2*D2</f>
        <v>118664</v>
      </c>
      <c r="L2" s="11">
        <f>G2-'15'!D2</f>
        <v>21</v>
      </c>
      <c r="M2" s="13">
        <f>L2*J2</f>
        <v>6846</v>
      </c>
    </row>
    <row r="3" spans="1:13">
      <c r="A3" s="7" t="s">
        <v>12</v>
      </c>
      <c r="B3" s="8" t="s">
        <v>14</v>
      </c>
      <c r="C3" s="9">
        <v>9</v>
      </c>
      <c r="D3" s="10">
        <v>88</v>
      </c>
      <c r="E3" s="11"/>
      <c r="F3" s="9">
        <f t="shared" ref="F3:F66" si="0">E3*H3</f>
        <v>0</v>
      </c>
      <c r="G3" s="11">
        <f t="shared" ref="G3:G66" si="1">D3+E3</f>
        <v>88</v>
      </c>
      <c r="H3" s="12">
        <v>308.19</v>
      </c>
      <c r="I3" s="13">
        <f t="shared" ref="I3:I66" si="2">H3*D3</f>
        <v>27120.720000000001</v>
      </c>
      <c r="J3" s="14">
        <v>326</v>
      </c>
      <c r="K3" s="13">
        <f t="shared" ref="K3:K66" si="3">J3*D3</f>
        <v>28688</v>
      </c>
      <c r="L3" s="11">
        <f>G3-'15'!D3</f>
        <v>3</v>
      </c>
      <c r="M3" s="13">
        <f t="shared" ref="M3:M66" si="4">L3*J3</f>
        <v>978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f>G4-'15'!D4</f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213</v>
      </c>
      <c r="E5" s="11"/>
      <c r="F5" s="9">
        <f t="shared" si="0"/>
        <v>0</v>
      </c>
      <c r="G5" s="11">
        <f t="shared" si="1"/>
        <v>213</v>
      </c>
      <c r="H5" s="12">
        <v>174.77</v>
      </c>
      <c r="I5" s="13">
        <f t="shared" si="2"/>
        <v>37226.01</v>
      </c>
      <c r="J5" s="14">
        <v>192</v>
      </c>
      <c r="K5" s="13">
        <f t="shared" si="3"/>
        <v>40896</v>
      </c>
      <c r="L5" s="11">
        <f>G5-'15'!D5</f>
        <v>29</v>
      </c>
      <c r="M5" s="13">
        <f t="shared" si="4"/>
        <v>5568</v>
      </c>
    </row>
    <row r="6" spans="1:13">
      <c r="A6" s="7" t="s">
        <v>16</v>
      </c>
      <c r="B6" s="8" t="s">
        <v>18</v>
      </c>
      <c r="C6" s="9">
        <v>10</v>
      </c>
      <c r="D6" s="10">
        <v>197</v>
      </c>
      <c r="E6" s="11"/>
      <c r="F6" s="9">
        <f t="shared" si="0"/>
        <v>0</v>
      </c>
      <c r="G6" s="11">
        <f t="shared" si="1"/>
        <v>197</v>
      </c>
      <c r="H6" s="12">
        <v>174.77</v>
      </c>
      <c r="I6" s="13">
        <f t="shared" si="2"/>
        <v>34429.69</v>
      </c>
      <c r="J6" s="14">
        <v>192</v>
      </c>
      <c r="K6" s="13">
        <f t="shared" si="3"/>
        <v>37824</v>
      </c>
      <c r="L6" s="11">
        <f>G6-'15'!D6</f>
        <v>13</v>
      </c>
      <c r="M6" s="13">
        <f t="shared" si="4"/>
        <v>2496</v>
      </c>
    </row>
    <row r="7" spans="1:13">
      <c r="A7" s="7" t="s">
        <v>16</v>
      </c>
      <c r="B7" s="8" t="s">
        <v>19</v>
      </c>
      <c r="C7" s="9">
        <v>10</v>
      </c>
      <c r="D7" s="10">
        <v>39</v>
      </c>
      <c r="E7" s="11"/>
      <c r="F7" s="9">
        <f t="shared" si="0"/>
        <v>0</v>
      </c>
      <c r="G7" s="11">
        <f t="shared" si="1"/>
        <v>39</v>
      </c>
      <c r="H7" s="12">
        <v>174.77</v>
      </c>
      <c r="I7" s="13">
        <f t="shared" si="2"/>
        <v>6816.0300000000007</v>
      </c>
      <c r="J7" s="14">
        <v>192</v>
      </c>
      <c r="K7" s="13">
        <f t="shared" si="3"/>
        <v>7488</v>
      </c>
      <c r="L7" s="11">
        <f>G7-'15'!D7</f>
        <v>3</v>
      </c>
      <c r="M7" s="13">
        <f t="shared" si="4"/>
        <v>576</v>
      </c>
    </row>
    <row r="8" spans="1:13">
      <c r="A8" s="7" t="s">
        <v>16</v>
      </c>
      <c r="B8" s="8" t="s">
        <v>20</v>
      </c>
      <c r="C8" s="9">
        <v>10</v>
      </c>
      <c r="D8" s="10">
        <v>38</v>
      </c>
      <c r="E8" s="11"/>
      <c r="F8" s="9">
        <f t="shared" si="0"/>
        <v>0</v>
      </c>
      <c r="G8" s="11">
        <f t="shared" si="1"/>
        <v>38</v>
      </c>
      <c r="H8" s="12">
        <v>174.77</v>
      </c>
      <c r="I8" s="13">
        <f t="shared" si="2"/>
        <v>6641.26</v>
      </c>
      <c r="J8" s="14">
        <v>192</v>
      </c>
      <c r="K8" s="13">
        <f t="shared" si="3"/>
        <v>7296</v>
      </c>
      <c r="L8" s="11">
        <f>G8-'15'!D8</f>
        <v>12</v>
      </c>
      <c r="M8" s="13">
        <f t="shared" si="4"/>
        <v>2304</v>
      </c>
    </row>
    <row r="9" spans="1:13">
      <c r="A9" s="7" t="s">
        <v>16</v>
      </c>
      <c r="B9" s="8" t="s">
        <v>21</v>
      </c>
      <c r="C9" s="9">
        <v>10</v>
      </c>
      <c r="D9" s="10">
        <v>134</v>
      </c>
      <c r="E9" s="11"/>
      <c r="F9" s="9">
        <f t="shared" si="0"/>
        <v>0</v>
      </c>
      <c r="G9" s="11">
        <f t="shared" si="1"/>
        <v>134</v>
      </c>
      <c r="H9" s="12">
        <v>174.77</v>
      </c>
      <c r="I9" s="13">
        <f t="shared" si="2"/>
        <v>23419.18</v>
      </c>
      <c r="J9" s="14">
        <v>192</v>
      </c>
      <c r="K9" s="13">
        <f t="shared" si="3"/>
        <v>25728</v>
      </c>
      <c r="L9" s="11">
        <f>G9-'15'!D9</f>
        <v>8</v>
      </c>
      <c r="M9" s="13">
        <f t="shared" si="4"/>
        <v>1536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f>G10-'15'!D10</f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19</v>
      </c>
      <c r="E11" s="11"/>
      <c r="F11" s="9">
        <f t="shared" si="0"/>
        <v>0</v>
      </c>
      <c r="G11" s="11">
        <f t="shared" si="1"/>
        <v>19</v>
      </c>
      <c r="H11" s="12">
        <v>470.8</v>
      </c>
      <c r="I11" s="13">
        <f t="shared" si="2"/>
        <v>8945.2000000000007</v>
      </c>
      <c r="J11" s="14">
        <v>505</v>
      </c>
      <c r="K11" s="13">
        <f t="shared" si="3"/>
        <v>9595</v>
      </c>
      <c r="L11" s="11">
        <f>G11-'15'!D11</f>
        <v>0</v>
      </c>
      <c r="M11" s="13">
        <f t="shared" si="4"/>
        <v>0</v>
      </c>
    </row>
    <row r="12" spans="1:13">
      <c r="A12" s="7" t="s">
        <v>22</v>
      </c>
      <c r="B12" s="8" t="s">
        <v>17</v>
      </c>
      <c r="C12" s="9">
        <v>20</v>
      </c>
      <c r="D12" s="10">
        <v>182</v>
      </c>
      <c r="E12" s="11">
        <v>241</v>
      </c>
      <c r="F12" s="9">
        <f>E12*H12</f>
        <v>114660.56999999999</v>
      </c>
      <c r="G12" s="11">
        <f t="shared" si="1"/>
        <v>423</v>
      </c>
      <c r="H12" s="12">
        <v>475.77</v>
      </c>
      <c r="I12" s="13">
        <f t="shared" si="2"/>
        <v>86590.14</v>
      </c>
      <c r="J12" s="14">
        <v>505</v>
      </c>
      <c r="K12" s="13">
        <f t="shared" si="3"/>
        <v>91910</v>
      </c>
      <c r="L12" s="11">
        <f>G12-'15'!D12</f>
        <v>100</v>
      </c>
      <c r="M12" s="13">
        <f t="shared" si="4"/>
        <v>50500</v>
      </c>
    </row>
    <row r="13" spans="1:13">
      <c r="A13" s="7" t="s">
        <v>22</v>
      </c>
      <c r="B13" s="8" t="s">
        <v>18</v>
      </c>
      <c r="C13" s="9">
        <v>20</v>
      </c>
      <c r="D13" s="10">
        <v>149</v>
      </c>
      <c r="E13" s="11">
        <v>130</v>
      </c>
      <c r="F13" s="9">
        <f t="shared" si="0"/>
        <v>61850.1</v>
      </c>
      <c r="G13" s="11">
        <f t="shared" si="1"/>
        <v>279</v>
      </c>
      <c r="H13" s="12">
        <v>475.77</v>
      </c>
      <c r="I13" s="13">
        <f t="shared" si="2"/>
        <v>70889.73</v>
      </c>
      <c r="J13" s="14">
        <v>505</v>
      </c>
      <c r="K13" s="13">
        <f t="shared" si="3"/>
        <v>75245</v>
      </c>
      <c r="L13" s="11">
        <f>G13-'15'!D13</f>
        <v>66</v>
      </c>
      <c r="M13" s="13">
        <f t="shared" si="4"/>
        <v>33330</v>
      </c>
    </row>
    <row r="14" spans="1:13">
      <c r="A14" s="7" t="s">
        <v>22</v>
      </c>
      <c r="B14" s="8" t="s">
        <v>19</v>
      </c>
      <c r="C14" s="9">
        <v>20</v>
      </c>
      <c r="D14" s="10">
        <v>0</v>
      </c>
      <c r="E14" s="11">
        <v>65</v>
      </c>
      <c r="F14" s="9">
        <f t="shared" si="0"/>
        <v>30602</v>
      </c>
      <c r="G14" s="11">
        <f t="shared" si="1"/>
        <v>65</v>
      </c>
      <c r="H14" s="12">
        <v>470.8</v>
      </c>
      <c r="I14" s="13">
        <f t="shared" si="2"/>
        <v>0</v>
      </c>
      <c r="J14" s="14">
        <v>505</v>
      </c>
      <c r="K14" s="13">
        <f t="shared" si="3"/>
        <v>0</v>
      </c>
      <c r="L14" s="11">
        <f>G14-'15'!D14</f>
        <v>16</v>
      </c>
      <c r="M14" s="13">
        <f t="shared" si="4"/>
        <v>8080</v>
      </c>
    </row>
    <row r="15" spans="1:13">
      <c r="A15" s="7" t="s">
        <v>22</v>
      </c>
      <c r="B15" s="8" t="s">
        <v>20</v>
      </c>
      <c r="C15" s="9">
        <v>20</v>
      </c>
      <c r="D15" s="10">
        <v>8</v>
      </c>
      <c r="E15" s="11">
        <v>39</v>
      </c>
      <c r="F15" s="9">
        <f t="shared" si="0"/>
        <v>18361.2</v>
      </c>
      <c r="G15" s="11">
        <f t="shared" si="1"/>
        <v>47</v>
      </c>
      <c r="H15" s="12">
        <v>470.8</v>
      </c>
      <c r="I15" s="13">
        <f t="shared" si="2"/>
        <v>3766.4</v>
      </c>
      <c r="J15" s="14">
        <v>505</v>
      </c>
      <c r="K15" s="13">
        <f t="shared" si="3"/>
        <v>4040</v>
      </c>
      <c r="L15" s="11">
        <f>G15-'15'!D15</f>
        <v>6</v>
      </c>
      <c r="M15" s="13">
        <f t="shared" si="4"/>
        <v>3030</v>
      </c>
    </row>
    <row r="16" spans="1:13">
      <c r="A16" s="7" t="s">
        <v>22</v>
      </c>
      <c r="B16" s="8" t="s">
        <v>21</v>
      </c>
      <c r="C16" s="9">
        <v>20</v>
      </c>
      <c r="D16" s="10"/>
      <c r="E16" s="11"/>
      <c r="F16" s="9">
        <f t="shared" si="0"/>
        <v>0</v>
      </c>
      <c r="G16" s="11">
        <f t="shared" si="1"/>
        <v>0</v>
      </c>
      <c r="H16" s="12">
        <v>470.8</v>
      </c>
      <c r="I16" s="13">
        <f t="shared" si="2"/>
        <v>0</v>
      </c>
      <c r="J16" s="14">
        <v>505</v>
      </c>
      <c r="K16" s="13">
        <f t="shared" si="3"/>
        <v>0</v>
      </c>
      <c r="L16" s="11">
        <f>G16-'15'!D16</f>
        <v>0</v>
      </c>
      <c r="M16" s="13">
        <f t="shared" si="4"/>
        <v>0</v>
      </c>
    </row>
    <row r="17" spans="1:13">
      <c r="A17" s="7" t="s">
        <v>22</v>
      </c>
      <c r="B17" s="8" t="s">
        <v>29</v>
      </c>
      <c r="C17" s="9">
        <v>11</v>
      </c>
      <c r="D17" s="10">
        <v>43</v>
      </c>
      <c r="E17" s="11"/>
      <c r="F17" s="9">
        <f t="shared" si="0"/>
        <v>0</v>
      </c>
      <c r="G17" s="11">
        <f t="shared" si="1"/>
        <v>43</v>
      </c>
      <c r="H17" s="12">
        <v>235.59</v>
      </c>
      <c r="I17" s="13">
        <f t="shared" si="2"/>
        <v>10130.370000000001</v>
      </c>
      <c r="J17" s="14">
        <v>250</v>
      </c>
      <c r="K17" s="13">
        <f t="shared" si="3"/>
        <v>10750</v>
      </c>
      <c r="L17" s="11">
        <f>G17-'15'!D17</f>
        <v>7</v>
      </c>
      <c r="M17" s="13">
        <f t="shared" si="4"/>
        <v>1750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f>G18-'15'!D18</f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/>
      <c r="E19" s="11"/>
      <c r="F19" s="9">
        <f t="shared" si="0"/>
        <v>0</v>
      </c>
      <c r="G19" s="11">
        <f t="shared" si="1"/>
        <v>0</v>
      </c>
      <c r="H19" s="12">
        <v>204</v>
      </c>
      <c r="I19" s="13">
        <f t="shared" si="2"/>
        <v>0</v>
      </c>
      <c r="J19" s="14">
        <v>230</v>
      </c>
      <c r="K19" s="13">
        <f t="shared" si="3"/>
        <v>0</v>
      </c>
      <c r="L19" s="11">
        <f>G19-'15'!D19</f>
        <v>0</v>
      </c>
      <c r="M19" s="13">
        <f t="shared" si="4"/>
        <v>0</v>
      </c>
    </row>
    <row r="20" spans="1:13">
      <c r="A20" s="7" t="s">
        <v>22</v>
      </c>
      <c r="B20" s="8" t="s">
        <v>25</v>
      </c>
      <c r="C20" s="9">
        <v>10</v>
      </c>
      <c r="D20" s="10"/>
      <c r="E20" s="11"/>
      <c r="F20" s="9">
        <f t="shared" si="0"/>
        <v>0</v>
      </c>
      <c r="G20" s="11">
        <f t="shared" si="1"/>
        <v>0</v>
      </c>
      <c r="H20" s="12">
        <v>204</v>
      </c>
      <c r="I20" s="13">
        <f>H20*D20</f>
        <v>0</v>
      </c>
      <c r="J20" s="14">
        <v>230</v>
      </c>
      <c r="K20" s="13">
        <f t="shared" si="3"/>
        <v>0</v>
      </c>
      <c r="L20" s="11">
        <f>G20-'15'!D20</f>
        <v>0</v>
      </c>
      <c r="M20" s="13">
        <f t="shared" si="4"/>
        <v>0</v>
      </c>
    </row>
    <row r="21" spans="1:13">
      <c r="A21" s="7" t="s">
        <v>22</v>
      </c>
      <c r="B21" s="8" t="s">
        <v>26</v>
      </c>
      <c r="C21" s="9">
        <v>10</v>
      </c>
      <c r="D21" s="10">
        <v>16</v>
      </c>
      <c r="E21" s="11"/>
      <c r="F21" s="9">
        <f t="shared" si="0"/>
        <v>0</v>
      </c>
      <c r="G21" s="11">
        <f t="shared" si="1"/>
        <v>16</v>
      </c>
      <c r="H21" s="12">
        <v>204</v>
      </c>
      <c r="I21" s="13">
        <f t="shared" si="2"/>
        <v>3264</v>
      </c>
      <c r="J21" s="14">
        <v>230</v>
      </c>
      <c r="K21" s="13">
        <f t="shared" si="3"/>
        <v>3680</v>
      </c>
      <c r="L21" s="11">
        <f>G21-'15'!D21</f>
        <v>1</v>
      </c>
      <c r="M21" s="13">
        <f t="shared" si="4"/>
        <v>230</v>
      </c>
    </row>
    <row r="22" spans="1:13">
      <c r="A22" s="7" t="s">
        <v>22</v>
      </c>
      <c r="B22" s="8" t="s">
        <v>13</v>
      </c>
      <c r="C22" s="9">
        <v>19</v>
      </c>
      <c r="D22" s="10"/>
      <c r="E22" s="11">
        <v>36</v>
      </c>
      <c r="F22" s="9">
        <f t="shared" si="0"/>
        <v>17080.559999999998</v>
      </c>
      <c r="G22" s="11">
        <f t="shared" si="1"/>
        <v>36</v>
      </c>
      <c r="H22" s="12">
        <v>474.46</v>
      </c>
      <c r="I22" s="13">
        <f t="shared" si="2"/>
        <v>0</v>
      </c>
      <c r="J22" s="14">
        <v>505</v>
      </c>
      <c r="K22" s="13">
        <f t="shared" si="3"/>
        <v>0</v>
      </c>
      <c r="L22" s="11">
        <f>G22-'15'!D22</f>
        <v>21</v>
      </c>
      <c r="M22" s="13">
        <f t="shared" si="4"/>
        <v>10605</v>
      </c>
    </row>
    <row r="23" spans="1:13">
      <c r="A23" s="7" t="s">
        <v>22</v>
      </c>
      <c r="B23" s="8" t="s">
        <v>27</v>
      </c>
      <c r="C23" s="9">
        <v>24</v>
      </c>
      <c r="D23" s="10">
        <v>85</v>
      </c>
      <c r="E23" s="11"/>
      <c r="F23" s="9">
        <f t="shared" si="0"/>
        <v>0</v>
      </c>
      <c r="G23" s="11">
        <f t="shared" si="1"/>
        <v>85</v>
      </c>
      <c r="H23" s="12">
        <v>593.91999999999996</v>
      </c>
      <c r="I23" s="13">
        <f t="shared" si="2"/>
        <v>50483.199999999997</v>
      </c>
      <c r="J23" s="14">
        <v>630</v>
      </c>
      <c r="K23" s="13">
        <f t="shared" si="3"/>
        <v>53550</v>
      </c>
      <c r="L23" s="11">
        <f>G23-'15'!D23</f>
        <v>23</v>
      </c>
      <c r="M23" s="13">
        <f t="shared" si="4"/>
        <v>14490</v>
      </c>
    </row>
    <row r="24" spans="1:13">
      <c r="A24" s="7" t="s">
        <v>30</v>
      </c>
      <c r="B24" s="8" t="s">
        <v>17</v>
      </c>
      <c r="C24" s="9">
        <v>25</v>
      </c>
      <c r="D24" s="10">
        <v>0</v>
      </c>
      <c r="E24" s="10">
        <v>54</v>
      </c>
      <c r="F24" s="9">
        <f t="shared" si="0"/>
        <v>24478.2</v>
      </c>
      <c r="G24" s="11">
        <f t="shared" si="1"/>
        <v>54</v>
      </c>
      <c r="H24" s="12">
        <v>453.3</v>
      </c>
      <c r="I24" s="13">
        <f t="shared" si="2"/>
        <v>0</v>
      </c>
      <c r="J24" s="14">
        <v>493</v>
      </c>
      <c r="K24" s="13">
        <f t="shared" si="3"/>
        <v>0</v>
      </c>
      <c r="L24" s="11">
        <f>G24-'15'!D24</f>
        <v>0</v>
      </c>
      <c r="M24" s="13">
        <f t="shared" si="4"/>
        <v>0</v>
      </c>
    </row>
    <row r="25" spans="1:13">
      <c r="A25" s="7" t="s">
        <v>30</v>
      </c>
      <c r="B25" s="8" t="s">
        <v>18</v>
      </c>
      <c r="C25" s="9">
        <v>25</v>
      </c>
      <c r="D25" s="10"/>
      <c r="E25" s="10"/>
      <c r="F25" s="9">
        <f t="shared" si="0"/>
        <v>0</v>
      </c>
      <c r="G25" s="11">
        <f t="shared" si="1"/>
        <v>0</v>
      </c>
      <c r="H25" s="12">
        <v>453.3</v>
      </c>
      <c r="I25" s="13">
        <f t="shared" si="2"/>
        <v>0</v>
      </c>
      <c r="J25" s="14">
        <v>493</v>
      </c>
      <c r="K25" s="13">
        <f t="shared" si="3"/>
        <v>0</v>
      </c>
      <c r="L25" s="11">
        <f>G25-'15'!D25</f>
        <v>0</v>
      </c>
      <c r="M25" s="13">
        <f t="shared" si="4"/>
        <v>0</v>
      </c>
    </row>
    <row r="26" spans="1:13">
      <c r="A26" s="7" t="s">
        <v>30</v>
      </c>
      <c r="B26" s="8" t="s">
        <v>20</v>
      </c>
      <c r="C26" s="9">
        <v>25</v>
      </c>
      <c r="D26" s="10"/>
      <c r="E26" s="10"/>
      <c r="F26" s="9">
        <f t="shared" si="0"/>
        <v>0</v>
      </c>
      <c r="G26" s="11">
        <f t="shared" si="1"/>
        <v>0</v>
      </c>
      <c r="H26" s="12">
        <v>453.3</v>
      </c>
      <c r="I26" s="13">
        <f t="shared" si="2"/>
        <v>0</v>
      </c>
      <c r="J26" s="14">
        <v>493</v>
      </c>
      <c r="K26" s="13">
        <f t="shared" si="3"/>
        <v>0</v>
      </c>
      <c r="L26" s="11">
        <f>G26-'15'!D26</f>
        <v>0</v>
      </c>
      <c r="M26" s="13">
        <f t="shared" si="4"/>
        <v>0</v>
      </c>
    </row>
    <row r="27" spans="1:13">
      <c r="A27" s="7" t="s">
        <v>30</v>
      </c>
      <c r="B27" s="8" t="s">
        <v>21</v>
      </c>
      <c r="C27" s="9">
        <v>25</v>
      </c>
      <c r="D27" s="10"/>
      <c r="E27" s="10"/>
      <c r="F27" s="9">
        <f t="shared" si="0"/>
        <v>0</v>
      </c>
      <c r="G27" s="11">
        <f t="shared" si="1"/>
        <v>0</v>
      </c>
      <c r="H27" s="12">
        <v>453.3</v>
      </c>
      <c r="I27" s="13">
        <f t="shared" si="2"/>
        <v>0</v>
      </c>
      <c r="J27" s="14">
        <v>493</v>
      </c>
      <c r="K27" s="13">
        <f t="shared" si="3"/>
        <v>0</v>
      </c>
      <c r="L27" s="11">
        <f>G27-'15'!D27</f>
        <v>0</v>
      </c>
      <c r="M27" s="13">
        <f t="shared" si="4"/>
        <v>0</v>
      </c>
    </row>
    <row r="28" spans="1:13">
      <c r="A28" s="7" t="s">
        <v>31</v>
      </c>
      <c r="B28" s="7" t="s">
        <v>17</v>
      </c>
      <c r="C28" s="9">
        <v>40</v>
      </c>
      <c r="D28" s="10"/>
      <c r="E28" s="10"/>
      <c r="F28" s="9">
        <f t="shared" si="0"/>
        <v>0</v>
      </c>
      <c r="G28" s="11">
        <f t="shared" si="1"/>
        <v>0</v>
      </c>
      <c r="H28" s="12">
        <v>821.36</v>
      </c>
      <c r="I28" s="13">
        <f t="shared" si="2"/>
        <v>0</v>
      </c>
      <c r="J28" s="14">
        <v>878</v>
      </c>
      <c r="K28" s="13">
        <f t="shared" si="3"/>
        <v>0</v>
      </c>
      <c r="L28" s="11">
        <f>G28-'15'!D28</f>
        <v>0</v>
      </c>
      <c r="M28" s="13">
        <f t="shared" si="4"/>
        <v>0</v>
      </c>
    </row>
    <row r="29" spans="1:13">
      <c r="A29" s="7" t="s">
        <v>31</v>
      </c>
      <c r="B29" s="7" t="s">
        <v>18</v>
      </c>
      <c r="C29" s="9">
        <v>40</v>
      </c>
      <c r="D29" s="10"/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f>G29-'15'!D29</f>
        <v>0</v>
      </c>
      <c r="M29" s="13">
        <f t="shared" si="4"/>
        <v>0</v>
      </c>
    </row>
    <row r="30" spans="1:13">
      <c r="A30" s="7" t="s">
        <v>31</v>
      </c>
      <c r="B30" s="7" t="s">
        <v>19</v>
      </c>
      <c r="C30" s="9">
        <v>40</v>
      </c>
      <c r="D30" s="10"/>
      <c r="E30" s="10"/>
      <c r="F30" s="9">
        <f t="shared" si="0"/>
        <v>0</v>
      </c>
      <c r="G30" s="11">
        <f t="shared" si="1"/>
        <v>0</v>
      </c>
      <c r="H30" s="12">
        <v>817.58</v>
      </c>
      <c r="I30" s="13">
        <f t="shared" si="2"/>
        <v>0</v>
      </c>
      <c r="J30" s="14">
        <v>878</v>
      </c>
      <c r="K30" s="13">
        <f t="shared" si="3"/>
        <v>0</v>
      </c>
      <c r="L30" s="11">
        <f>G30-'15'!D30</f>
        <v>0</v>
      </c>
      <c r="M30" s="13">
        <f t="shared" si="4"/>
        <v>0</v>
      </c>
    </row>
    <row r="31" spans="1:13">
      <c r="A31" s="7" t="s">
        <v>31</v>
      </c>
      <c r="B31" s="7" t="s">
        <v>20</v>
      </c>
      <c r="C31" s="9">
        <v>40</v>
      </c>
      <c r="D31" s="10"/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f>G31-'15'!D31</f>
        <v>0</v>
      </c>
      <c r="M31" s="13">
        <f t="shared" si="4"/>
        <v>0</v>
      </c>
    </row>
    <row r="32" spans="1:13">
      <c r="A32" s="7" t="s">
        <v>31</v>
      </c>
      <c r="B32" s="7" t="s">
        <v>21</v>
      </c>
      <c r="C32" s="9">
        <v>40</v>
      </c>
      <c r="D32" s="10"/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f>G32-'15'!D32</f>
        <v>0</v>
      </c>
      <c r="M32" s="13">
        <f t="shared" si="4"/>
        <v>0</v>
      </c>
    </row>
    <row r="33" spans="1:13">
      <c r="A33" s="7" t="s">
        <v>31</v>
      </c>
      <c r="B33" s="7" t="s">
        <v>32</v>
      </c>
      <c r="C33" s="9">
        <v>40</v>
      </c>
      <c r="D33" s="10"/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f>G33-'15'!D33</f>
        <v>0</v>
      </c>
      <c r="M33" s="13">
        <f t="shared" si="4"/>
        <v>0</v>
      </c>
    </row>
    <row r="34" spans="1:13">
      <c r="A34" s="7" t="s">
        <v>31</v>
      </c>
      <c r="B34" s="7" t="s">
        <v>33</v>
      </c>
      <c r="C34" s="9">
        <v>60</v>
      </c>
      <c r="D34" s="10">
        <v>296</v>
      </c>
      <c r="E34" s="10"/>
      <c r="F34" s="9">
        <f t="shared" si="0"/>
        <v>0</v>
      </c>
      <c r="G34" s="11">
        <f t="shared" si="1"/>
        <v>296</v>
      </c>
      <c r="H34" s="12">
        <v>1042.6500000000001</v>
      </c>
      <c r="I34" s="13">
        <f t="shared" si="2"/>
        <v>308624.40000000002</v>
      </c>
      <c r="J34" s="14">
        <v>1110</v>
      </c>
      <c r="K34" s="13">
        <f t="shared" si="3"/>
        <v>328560</v>
      </c>
      <c r="L34" s="11">
        <f>G34-'15'!D34</f>
        <v>28</v>
      </c>
      <c r="M34" s="13">
        <f t="shared" si="4"/>
        <v>31080</v>
      </c>
    </row>
    <row r="35" spans="1:13">
      <c r="A35" s="7" t="s">
        <v>34</v>
      </c>
      <c r="B35" s="7" t="s">
        <v>35</v>
      </c>
      <c r="C35" s="9">
        <v>7</v>
      </c>
      <c r="D35" s="10">
        <v>0</v>
      </c>
      <c r="E35" s="10"/>
      <c r="F35" s="9">
        <f t="shared" si="0"/>
        <v>0</v>
      </c>
      <c r="G35" s="11">
        <f t="shared" si="1"/>
        <v>0</v>
      </c>
      <c r="H35" s="12">
        <v>126.24</v>
      </c>
      <c r="I35" s="13">
        <f t="shared" si="2"/>
        <v>0</v>
      </c>
      <c r="J35" s="14">
        <v>140</v>
      </c>
      <c r="K35" s="13">
        <f t="shared" si="3"/>
        <v>0</v>
      </c>
      <c r="L35" s="11">
        <f>G35-'15'!D35</f>
        <v>0</v>
      </c>
      <c r="M35" s="13">
        <f t="shared" si="4"/>
        <v>0</v>
      </c>
    </row>
    <row r="36" spans="1:13">
      <c r="A36" s="7" t="s">
        <v>36</v>
      </c>
      <c r="B36" s="7" t="s">
        <v>37</v>
      </c>
      <c r="C36" s="9">
        <v>125</v>
      </c>
      <c r="D36" s="10">
        <v>10</v>
      </c>
      <c r="E36" s="10">
        <v>39</v>
      </c>
      <c r="F36" s="9">
        <f t="shared" si="0"/>
        <v>79971.06</v>
      </c>
      <c r="G36" s="11">
        <f t="shared" si="1"/>
        <v>49</v>
      </c>
      <c r="H36" s="12">
        <v>2050.54</v>
      </c>
      <c r="I36" s="13">
        <f t="shared" si="2"/>
        <v>20505.400000000001</v>
      </c>
      <c r="J36" s="14">
        <v>2175</v>
      </c>
      <c r="K36" s="13">
        <f t="shared" si="3"/>
        <v>21750</v>
      </c>
      <c r="L36" s="11">
        <f>G36-'15'!D36</f>
        <v>4</v>
      </c>
      <c r="M36" s="13">
        <f t="shared" si="4"/>
        <v>8700</v>
      </c>
    </row>
    <row r="37" spans="1:13">
      <c r="A37" s="7" t="s">
        <v>38</v>
      </c>
      <c r="B37" s="7" t="s">
        <v>17</v>
      </c>
      <c r="C37" s="9">
        <v>20</v>
      </c>
      <c r="D37" s="10">
        <v>2</v>
      </c>
      <c r="E37" s="10"/>
      <c r="F37" s="9">
        <f t="shared" si="0"/>
        <v>0</v>
      </c>
      <c r="G37" s="11">
        <f t="shared" si="1"/>
        <v>2</v>
      </c>
      <c r="H37" s="12">
        <v>399.19</v>
      </c>
      <c r="I37" s="13">
        <f t="shared" si="2"/>
        <v>798.38</v>
      </c>
      <c r="J37" s="14">
        <v>420</v>
      </c>
      <c r="K37" s="13">
        <f t="shared" si="3"/>
        <v>840</v>
      </c>
      <c r="L37" s="11">
        <f>G37-'15'!D37</f>
        <v>0</v>
      </c>
      <c r="M37" s="13">
        <f t="shared" si="4"/>
        <v>0</v>
      </c>
    </row>
    <row r="38" spans="1:13">
      <c r="A38" s="7" t="s">
        <v>38</v>
      </c>
      <c r="B38" s="7" t="s">
        <v>18</v>
      </c>
      <c r="C38" s="9">
        <v>20</v>
      </c>
      <c r="D38" s="10"/>
      <c r="E38" s="10"/>
      <c r="F38" s="9">
        <f t="shared" si="0"/>
        <v>0</v>
      </c>
      <c r="G38" s="11">
        <f t="shared" si="1"/>
        <v>0</v>
      </c>
      <c r="H38" s="12">
        <v>399.19</v>
      </c>
      <c r="I38" s="13">
        <f t="shared" si="2"/>
        <v>0</v>
      </c>
      <c r="J38" s="14">
        <v>420</v>
      </c>
      <c r="K38" s="13">
        <f t="shared" si="3"/>
        <v>0</v>
      </c>
      <c r="L38" s="11">
        <f>G38-'15'!D38</f>
        <v>0</v>
      </c>
      <c r="M38" s="13">
        <f t="shared" si="4"/>
        <v>0</v>
      </c>
    </row>
    <row r="39" spans="1:13">
      <c r="A39" s="7" t="s">
        <v>38</v>
      </c>
      <c r="B39" s="7" t="s">
        <v>21</v>
      </c>
      <c r="C39" s="9">
        <v>20</v>
      </c>
      <c r="D39" s="10"/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f>G39-'15'!D39</f>
        <v>0</v>
      </c>
      <c r="M39" s="13">
        <f t="shared" si="4"/>
        <v>0</v>
      </c>
    </row>
    <row r="40" spans="1:13">
      <c r="A40" s="7" t="s">
        <v>39</v>
      </c>
      <c r="B40" s="7" t="s">
        <v>35</v>
      </c>
      <c r="C40" s="9">
        <v>9</v>
      </c>
      <c r="D40" s="10">
        <v>42</v>
      </c>
      <c r="E40" s="10"/>
      <c r="F40" s="9">
        <f t="shared" si="0"/>
        <v>0</v>
      </c>
      <c r="G40" s="11">
        <f t="shared" si="1"/>
        <v>42</v>
      </c>
      <c r="H40" s="12">
        <v>174.19</v>
      </c>
      <c r="I40" s="13">
        <f t="shared" si="2"/>
        <v>7315.98</v>
      </c>
      <c r="J40" s="14">
        <v>185</v>
      </c>
      <c r="K40" s="13">
        <f t="shared" si="3"/>
        <v>7770</v>
      </c>
      <c r="L40" s="11">
        <f>G40-'15'!D40</f>
        <v>16</v>
      </c>
      <c r="M40" s="13">
        <f t="shared" si="4"/>
        <v>2960</v>
      </c>
    </row>
    <row r="41" spans="1:13">
      <c r="A41" s="7" t="s">
        <v>40</v>
      </c>
      <c r="B41" s="7" t="s">
        <v>13</v>
      </c>
      <c r="C41" s="9">
        <v>35</v>
      </c>
      <c r="D41" s="10">
        <v>11</v>
      </c>
      <c r="E41" s="10"/>
      <c r="F41" s="9">
        <f t="shared" si="0"/>
        <v>0</v>
      </c>
      <c r="G41" s="11">
        <f t="shared" si="1"/>
        <v>11</v>
      </c>
      <c r="H41" s="12">
        <v>748.13</v>
      </c>
      <c r="I41" s="13">
        <f t="shared" si="2"/>
        <v>8229.43</v>
      </c>
      <c r="J41" s="14">
        <v>795</v>
      </c>
      <c r="K41" s="13">
        <f t="shared" si="3"/>
        <v>8745</v>
      </c>
      <c r="L41" s="11">
        <f>G41-'15'!D41</f>
        <v>2</v>
      </c>
      <c r="M41" s="13">
        <f t="shared" si="4"/>
        <v>1590</v>
      </c>
    </row>
    <row r="42" spans="1:13">
      <c r="A42" s="7" t="s">
        <v>41</v>
      </c>
      <c r="B42" s="7" t="s">
        <v>17</v>
      </c>
      <c r="C42" s="9">
        <v>40</v>
      </c>
      <c r="D42" s="10">
        <v>35</v>
      </c>
      <c r="E42" s="10">
        <v>27</v>
      </c>
      <c r="F42" s="9">
        <f t="shared" si="0"/>
        <v>22757.22</v>
      </c>
      <c r="G42" s="11">
        <f t="shared" si="1"/>
        <v>62</v>
      </c>
      <c r="H42" s="12">
        <v>842.86</v>
      </c>
      <c r="I42" s="13">
        <f t="shared" si="2"/>
        <v>29500.100000000002</v>
      </c>
      <c r="J42" s="14">
        <v>900</v>
      </c>
      <c r="K42" s="13">
        <f t="shared" si="3"/>
        <v>31500</v>
      </c>
      <c r="L42" s="11">
        <f>G42-'15'!D42</f>
        <v>6</v>
      </c>
      <c r="M42" s="13">
        <f t="shared" si="4"/>
        <v>5400</v>
      </c>
    </row>
    <row r="43" spans="1:13">
      <c r="A43" s="7" t="s">
        <v>41</v>
      </c>
      <c r="B43" s="7" t="s">
        <v>18</v>
      </c>
      <c r="C43" s="9">
        <v>40</v>
      </c>
      <c r="D43" s="10">
        <v>14</v>
      </c>
      <c r="E43" s="10">
        <v>27</v>
      </c>
      <c r="F43" s="9">
        <f t="shared" si="0"/>
        <v>22757.22</v>
      </c>
      <c r="G43" s="11">
        <f t="shared" si="1"/>
        <v>41</v>
      </c>
      <c r="H43" s="12">
        <v>842.86</v>
      </c>
      <c r="I43" s="13">
        <f t="shared" si="2"/>
        <v>11800.04</v>
      </c>
      <c r="J43" s="14">
        <v>900</v>
      </c>
      <c r="K43" s="13">
        <f t="shared" si="3"/>
        <v>12600</v>
      </c>
      <c r="L43" s="11">
        <f>G43-'15'!D43</f>
        <v>2</v>
      </c>
      <c r="M43" s="13">
        <f t="shared" si="4"/>
        <v>1800</v>
      </c>
    </row>
    <row r="44" spans="1:13">
      <c r="A44" s="7" t="s">
        <v>41</v>
      </c>
      <c r="B44" s="7" t="s">
        <v>19</v>
      </c>
      <c r="C44" s="9">
        <v>40</v>
      </c>
      <c r="D44" s="10"/>
      <c r="E44" s="10"/>
      <c r="F44" s="9">
        <f t="shared" si="0"/>
        <v>0</v>
      </c>
      <c r="G44" s="11">
        <f t="shared" si="1"/>
        <v>0</v>
      </c>
      <c r="H44" s="12">
        <v>839.68</v>
      </c>
      <c r="I44" s="13">
        <f t="shared" si="2"/>
        <v>0</v>
      </c>
      <c r="J44" s="14">
        <v>900</v>
      </c>
      <c r="K44" s="13">
        <f t="shared" si="3"/>
        <v>0</v>
      </c>
      <c r="L44" s="11">
        <f>G44-'15'!D44</f>
        <v>0</v>
      </c>
      <c r="M44" s="13">
        <f t="shared" si="4"/>
        <v>0</v>
      </c>
    </row>
    <row r="45" spans="1:13">
      <c r="A45" s="7" t="s">
        <v>41</v>
      </c>
      <c r="B45" s="7" t="s">
        <v>20</v>
      </c>
      <c r="C45" s="9">
        <v>40</v>
      </c>
      <c r="D45" s="10"/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f>G45-'15'!D45</f>
        <v>0</v>
      </c>
      <c r="M45" s="13">
        <f t="shared" si="4"/>
        <v>0</v>
      </c>
    </row>
    <row r="46" spans="1:13">
      <c r="A46" s="7" t="s">
        <v>41</v>
      </c>
      <c r="B46" s="7" t="s">
        <v>21</v>
      </c>
      <c r="C46" s="9">
        <v>40</v>
      </c>
      <c r="D46" s="10"/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f>G46-'15'!D46</f>
        <v>0</v>
      </c>
      <c r="M46" s="13">
        <f t="shared" si="4"/>
        <v>0</v>
      </c>
    </row>
    <row r="47" spans="1:13">
      <c r="A47" s="7" t="s">
        <v>42</v>
      </c>
      <c r="B47" s="7" t="s">
        <v>29</v>
      </c>
      <c r="C47" s="9">
        <v>18</v>
      </c>
      <c r="D47" s="10">
        <v>15</v>
      </c>
      <c r="E47" s="10"/>
      <c r="F47" s="9">
        <f t="shared" si="0"/>
        <v>0</v>
      </c>
      <c r="G47" s="11">
        <f t="shared" si="1"/>
        <v>15</v>
      </c>
      <c r="H47" s="12">
        <v>375.68</v>
      </c>
      <c r="I47" s="13">
        <f t="shared" si="2"/>
        <v>5635.2</v>
      </c>
      <c r="J47" s="14">
        <v>400</v>
      </c>
      <c r="K47" s="13">
        <f t="shared" si="3"/>
        <v>6000</v>
      </c>
      <c r="L47" s="11">
        <f>G47-'15'!D47</f>
        <v>5</v>
      </c>
      <c r="M47" s="13">
        <f t="shared" si="4"/>
        <v>2000</v>
      </c>
    </row>
    <row r="48" spans="1:13">
      <c r="A48" s="7" t="s">
        <v>54</v>
      </c>
      <c r="B48" s="7" t="s">
        <v>44</v>
      </c>
      <c r="C48" s="9">
        <v>50</v>
      </c>
      <c r="D48" s="11">
        <v>1</v>
      </c>
      <c r="E48" s="11"/>
      <c r="F48" s="9">
        <f t="shared" si="0"/>
        <v>0</v>
      </c>
      <c r="G48" s="11">
        <f t="shared" si="1"/>
        <v>1</v>
      </c>
      <c r="H48" s="12">
        <v>670.32</v>
      </c>
      <c r="I48" s="13">
        <f t="shared" si="2"/>
        <v>670.32</v>
      </c>
      <c r="J48" s="14">
        <v>710</v>
      </c>
      <c r="K48" s="13">
        <f t="shared" si="3"/>
        <v>710</v>
      </c>
      <c r="L48" s="11">
        <f>G48-'15'!D48</f>
        <v>0</v>
      </c>
      <c r="M48" s="13">
        <f t="shared" si="4"/>
        <v>0</v>
      </c>
    </row>
    <row r="49" spans="1:13">
      <c r="A49" s="7" t="s">
        <v>43</v>
      </c>
      <c r="B49" s="7" t="s">
        <v>17</v>
      </c>
      <c r="C49" s="9">
        <v>50</v>
      </c>
      <c r="D49" s="10">
        <v>104</v>
      </c>
      <c r="E49" s="10"/>
      <c r="F49" s="9">
        <f t="shared" si="0"/>
        <v>0</v>
      </c>
      <c r="G49" s="11">
        <f t="shared" si="1"/>
        <v>104</v>
      </c>
      <c r="H49" s="12">
        <v>661.22</v>
      </c>
      <c r="I49" s="13">
        <f t="shared" si="2"/>
        <v>68766.880000000005</v>
      </c>
      <c r="J49" s="14">
        <v>710</v>
      </c>
      <c r="K49" s="13">
        <f t="shared" si="3"/>
        <v>73840</v>
      </c>
      <c r="L49" s="11">
        <f>G49-'15'!D49</f>
        <v>26</v>
      </c>
      <c r="M49" s="13">
        <f t="shared" si="4"/>
        <v>18460</v>
      </c>
    </row>
    <row r="50" spans="1:13">
      <c r="A50" s="7" t="s">
        <v>43</v>
      </c>
      <c r="B50" s="7" t="s">
        <v>18</v>
      </c>
      <c r="C50" s="9">
        <v>50</v>
      </c>
      <c r="D50" s="10"/>
      <c r="E50" s="10">
        <v>55</v>
      </c>
      <c r="F50" s="9">
        <f t="shared" si="0"/>
        <v>36367.1</v>
      </c>
      <c r="G50" s="11">
        <f t="shared" si="1"/>
        <v>55</v>
      </c>
      <c r="H50" s="12">
        <v>661.22</v>
      </c>
      <c r="I50" s="13">
        <f t="shared" si="2"/>
        <v>0</v>
      </c>
      <c r="J50" s="14">
        <v>710</v>
      </c>
      <c r="K50" s="13">
        <f t="shared" si="3"/>
        <v>0</v>
      </c>
      <c r="L50" s="11">
        <f>G50-'15'!D50</f>
        <v>11</v>
      </c>
      <c r="M50" s="13">
        <f t="shared" si="4"/>
        <v>7810</v>
      </c>
    </row>
    <row r="51" spans="1:13">
      <c r="A51" s="7" t="s">
        <v>43</v>
      </c>
      <c r="B51" s="7" t="s">
        <v>19</v>
      </c>
      <c r="C51" s="9">
        <v>50</v>
      </c>
      <c r="D51" s="10"/>
      <c r="E51" s="10"/>
      <c r="F51" s="9">
        <f t="shared" si="0"/>
        <v>0</v>
      </c>
      <c r="G51" s="11">
        <f t="shared" si="1"/>
        <v>0</v>
      </c>
      <c r="H51" s="12">
        <v>661.22</v>
      </c>
      <c r="I51" s="13">
        <f t="shared" si="2"/>
        <v>0</v>
      </c>
      <c r="J51" s="14">
        <v>710</v>
      </c>
      <c r="K51" s="13">
        <f t="shared" si="3"/>
        <v>0</v>
      </c>
      <c r="L51" s="11">
        <f>G51-'15'!D51</f>
        <v>0</v>
      </c>
      <c r="M51" s="13">
        <f t="shared" si="4"/>
        <v>0</v>
      </c>
    </row>
    <row r="52" spans="1:13">
      <c r="A52" s="7" t="s">
        <v>43</v>
      </c>
      <c r="B52" s="7" t="s">
        <v>20</v>
      </c>
      <c r="C52" s="9">
        <v>50</v>
      </c>
      <c r="D52" s="10"/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f>G52-'15'!D52</f>
        <v>0</v>
      </c>
      <c r="M52" s="13">
        <f t="shared" si="4"/>
        <v>0</v>
      </c>
    </row>
    <row r="53" spans="1:13">
      <c r="A53" s="7" t="s">
        <v>43</v>
      </c>
      <c r="B53" s="7" t="s">
        <v>21</v>
      </c>
      <c r="C53" s="9">
        <v>50</v>
      </c>
      <c r="D53" s="10"/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f>G53-'15'!D53</f>
        <v>0</v>
      </c>
      <c r="M53" s="13">
        <f t="shared" si="4"/>
        <v>0</v>
      </c>
    </row>
    <row r="54" spans="1:13">
      <c r="A54" s="7" t="s">
        <v>43</v>
      </c>
      <c r="B54" s="7" t="s">
        <v>44</v>
      </c>
      <c r="C54" s="9">
        <v>85</v>
      </c>
      <c r="D54" s="10">
        <v>3</v>
      </c>
      <c r="E54" s="10"/>
      <c r="F54" s="9">
        <f t="shared" si="0"/>
        <v>0</v>
      </c>
      <c r="G54" s="11">
        <f t="shared" si="1"/>
        <v>3</v>
      </c>
      <c r="H54" s="12">
        <v>797.07</v>
      </c>
      <c r="I54" s="13">
        <f t="shared" si="2"/>
        <v>2391.21</v>
      </c>
      <c r="J54" s="14">
        <v>845</v>
      </c>
      <c r="K54" s="13">
        <f t="shared" si="3"/>
        <v>2535</v>
      </c>
      <c r="L54" s="11">
        <f>G54-'15'!D54</f>
        <v>0</v>
      </c>
      <c r="M54" s="13">
        <f t="shared" si="4"/>
        <v>0</v>
      </c>
    </row>
    <row r="55" spans="1:13">
      <c r="A55" s="7" t="s">
        <v>45</v>
      </c>
      <c r="B55" s="7" t="s">
        <v>35</v>
      </c>
      <c r="C55" s="9">
        <v>18</v>
      </c>
      <c r="D55" s="10">
        <v>941</v>
      </c>
      <c r="E55" s="10"/>
      <c r="F55" s="9">
        <f t="shared" si="0"/>
        <v>0</v>
      </c>
      <c r="G55" s="11">
        <f t="shared" si="1"/>
        <v>941</v>
      </c>
      <c r="H55" s="12">
        <v>160.77000000000001</v>
      </c>
      <c r="I55" s="13">
        <f t="shared" si="2"/>
        <v>151284.57</v>
      </c>
      <c r="J55" s="14">
        <v>175</v>
      </c>
      <c r="K55" s="13">
        <f t="shared" si="3"/>
        <v>164675</v>
      </c>
      <c r="L55" s="11">
        <f>G55-'15'!D55</f>
        <v>41</v>
      </c>
      <c r="M55" s="13">
        <f t="shared" si="4"/>
        <v>7175</v>
      </c>
    </row>
    <row r="56" spans="1:13">
      <c r="A56" s="7" t="s">
        <v>46</v>
      </c>
      <c r="B56" s="7" t="s">
        <v>13</v>
      </c>
      <c r="C56" s="9">
        <v>70</v>
      </c>
      <c r="D56" s="10">
        <v>18</v>
      </c>
      <c r="E56" s="10"/>
      <c r="F56" s="9">
        <f t="shared" si="0"/>
        <v>0</v>
      </c>
      <c r="G56" s="11">
        <f t="shared" si="1"/>
        <v>18</v>
      </c>
      <c r="H56" s="12">
        <v>744.99</v>
      </c>
      <c r="I56" s="13">
        <f t="shared" si="2"/>
        <v>13409.82</v>
      </c>
      <c r="J56" s="14">
        <v>790</v>
      </c>
      <c r="K56" s="13">
        <f t="shared" si="3"/>
        <v>14220</v>
      </c>
      <c r="L56" s="11">
        <f>G56-'15'!D56</f>
        <v>2</v>
      </c>
      <c r="M56" s="13">
        <f t="shared" si="4"/>
        <v>1580</v>
      </c>
    </row>
    <row r="57" spans="1:13">
      <c r="A57" s="7" t="s">
        <v>47</v>
      </c>
      <c r="B57" s="7" t="s">
        <v>29</v>
      </c>
      <c r="C57" s="9">
        <v>30</v>
      </c>
      <c r="D57" s="10"/>
      <c r="E57" s="10"/>
      <c r="F57" s="9">
        <f t="shared" si="0"/>
        <v>0</v>
      </c>
      <c r="G57" s="11">
        <f t="shared" si="1"/>
        <v>0</v>
      </c>
      <c r="H57" s="12">
        <v>316.14999999999998</v>
      </c>
      <c r="I57" s="13">
        <f t="shared" si="2"/>
        <v>0</v>
      </c>
      <c r="J57" s="14">
        <v>336</v>
      </c>
      <c r="K57" s="13">
        <f t="shared" si="3"/>
        <v>0</v>
      </c>
      <c r="L57" s="11">
        <f>G57-'15'!D57</f>
        <v>0</v>
      </c>
      <c r="M57" s="13">
        <f t="shared" si="4"/>
        <v>0</v>
      </c>
    </row>
    <row r="58" spans="1:13">
      <c r="A58" s="7" t="s">
        <v>48</v>
      </c>
      <c r="B58" s="7" t="s">
        <v>13</v>
      </c>
      <c r="C58" s="9">
        <v>95</v>
      </c>
      <c r="D58" s="10"/>
      <c r="E58" s="10">
        <v>20</v>
      </c>
      <c r="F58" s="9">
        <f t="shared" si="0"/>
        <v>20858</v>
      </c>
      <c r="G58" s="11">
        <f t="shared" si="1"/>
        <v>20</v>
      </c>
      <c r="H58" s="12">
        <v>1042.9000000000001</v>
      </c>
      <c r="I58" s="13">
        <f t="shared" si="2"/>
        <v>0</v>
      </c>
      <c r="J58" s="14">
        <v>1105</v>
      </c>
      <c r="K58" s="13">
        <f t="shared" si="3"/>
        <v>0</v>
      </c>
      <c r="L58" s="11">
        <f>G58-'15'!D58</f>
        <v>3</v>
      </c>
      <c r="M58" s="13">
        <f t="shared" si="4"/>
        <v>3315</v>
      </c>
    </row>
    <row r="59" spans="1:13">
      <c r="A59" s="7" t="s">
        <v>49</v>
      </c>
      <c r="B59" s="7" t="s">
        <v>35</v>
      </c>
      <c r="C59" s="9">
        <v>28</v>
      </c>
      <c r="D59" s="10">
        <v>2</v>
      </c>
      <c r="E59" s="10"/>
      <c r="F59" s="9">
        <f t="shared" si="0"/>
        <v>0</v>
      </c>
      <c r="G59" s="11">
        <f t="shared" si="1"/>
        <v>2</v>
      </c>
      <c r="H59" s="12">
        <v>165.06</v>
      </c>
      <c r="I59" s="13">
        <f t="shared" si="2"/>
        <v>330.12</v>
      </c>
      <c r="J59" s="14">
        <v>180</v>
      </c>
      <c r="K59" s="13">
        <f t="shared" si="3"/>
        <v>360</v>
      </c>
      <c r="L59" s="11">
        <f>G59-'15'!D59</f>
        <v>2</v>
      </c>
      <c r="M59" s="13">
        <f t="shared" si="4"/>
        <v>360</v>
      </c>
    </row>
    <row r="60" spans="1:13">
      <c r="A60" s="7" t="s">
        <v>50</v>
      </c>
      <c r="B60" s="7" t="s">
        <v>17</v>
      </c>
      <c r="C60" s="9">
        <v>70</v>
      </c>
      <c r="D60" s="10"/>
      <c r="E60" s="10"/>
      <c r="F60" s="9">
        <f t="shared" si="0"/>
        <v>0</v>
      </c>
      <c r="G60" s="11">
        <f t="shared" si="1"/>
        <v>0</v>
      </c>
      <c r="H60" s="12">
        <v>721.25</v>
      </c>
      <c r="I60" s="13">
        <f t="shared" si="2"/>
        <v>0</v>
      </c>
      <c r="J60" s="14">
        <v>771</v>
      </c>
      <c r="K60" s="13">
        <f t="shared" si="3"/>
        <v>0</v>
      </c>
      <c r="L60" s="11">
        <f>G60-'15'!D60</f>
        <v>0</v>
      </c>
      <c r="M60" s="13">
        <f t="shared" si="4"/>
        <v>0</v>
      </c>
    </row>
    <row r="61" spans="1:13">
      <c r="A61" s="7" t="s">
        <v>50</v>
      </c>
      <c r="B61" s="7" t="s">
        <v>18</v>
      </c>
      <c r="C61" s="9">
        <v>70</v>
      </c>
      <c r="D61" s="10"/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f>G61-'15'!D61</f>
        <v>0</v>
      </c>
      <c r="M61" s="13">
        <f t="shared" si="4"/>
        <v>0</v>
      </c>
    </row>
    <row r="62" spans="1:13">
      <c r="A62" s="7" t="s">
        <v>51</v>
      </c>
      <c r="B62" s="7" t="s">
        <v>17</v>
      </c>
      <c r="C62" s="9">
        <v>100</v>
      </c>
      <c r="D62" s="10">
        <v>19</v>
      </c>
      <c r="E62" s="10">
        <v>140</v>
      </c>
      <c r="F62" s="9">
        <f t="shared" si="0"/>
        <v>110724.59999999999</v>
      </c>
      <c r="G62" s="11">
        <f t="shared" si="1"/>
        <v>159</v>
      </c>
      <c r="H62" s="12">
        <v>790.89</v>
      </c>
      <c r="I62" s="13">
        <f t="shared" si="2"/>
        <v>15026.91</v>
      </c>
      <c r="J62" s="14">
        <v>845</v>
      </c>
      <c r="K62" s="13">
        <f t="shared" si="3"/>
        <v>16055</v>
      </c>
      <c r="L62" s="11">
        <f>G62-'15'!D62</f>
        <v>75</v>
      </c>
      <c r="M62" s="13">
        <f t="shared" si="4"/>
        <v>63375</v>
      </c>
    </row>
    <row r="63" spans="1:13">
      <c r="A63" s="7" t="s">
        <v>51</v>
      </c>
      <c r="B63" s="7" t="s">
        <v>18</v>
      </c>
      <c r="C63" s="9">
        <v>100</v>
      </c>
      <c r="D63" s="10">
        <v>15</v>
      </c>
      <c r="E63" s="10">
        <v>84</v>
      </c>
      <c r="F63" s="9">
        <f t="shared" si="0"/>
        <v>66434.759999999995</v>
      </c>
      <c r="G63" s="11">
        <f t="shared" si="1"/>
        <v>99</v>
      </c>
      <c r="H63" s="12">
        <v>790.89</v>
      </c>
      <c r="I63" s="13">
        <f t="shared" si="2"/>
        <v>11863.35</v>
      </c>
      <c r="J63" s="14">
        <v>845</v>
      </c>
      <c r="K63" s="13">
        <f t="shared" si="3"/>
        <v>12675</v>
      </c>
      <c r="L63" s="11">
        <f>G63-'15'!D63</f>
        <v>44</v>
      </c>
      <c r="M63" s="13">
        <f t="shared" si="4"/>
        <v>37180</v>
      </c>
    </row>
    <row r="64" spans="1:13">
      <c r="A64" s="7" t="s">
        <v>51</v>
      </c>
      <c r="B64" s="7" t="s">
        <v>19</v>
      </c>
      <c r="C64" s="9">
        <v>100</v>
      </c>
      <c r="D64" s="10"/>
      <c r="E64" s="10"/>
      <c r="F64" s="9">
        <f t="shared" si="0"/>
        <v>0</v>
      </c>
      <c r="G64" s="11">
        <f t="shared" si="1"/>
        <v>0</v>
      </c>
      <c r="H64" s="12">
        <v>790.89</v>
      </c>
      <c r="I64" s="13">
        <f t="shared" si="2"/>
        <v>0</v>
      </c>
      <c r="J64" s="14">
        <v>845</v>
      </c>
      <c r="K64" s="13">
        <f t="shared" si="3"/>
        <v>0</v>
      </c>
      <c r="L64" s="11">
        <f>G64-'15'!D64</f>
        <v>0</v>
      </c>
      <c r="M64" s="13">
        <f t="shared" si="4"/>
        <v>0</v>
      </c>
    </row>
    <row r="65" spans="1:13">
      <c r="A65" s="7" t="s">
        <v>51</v>
      </c>
      <c r="B65" s="7" t="s">
        <v>20</v>
      </c>
      <c r="C65" s="9">
        <v>100</v>
      </c>
      <c r="D65" s="10"/>
      <c r="E65" s="11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f>G65-'15'!D65</f>
        <v>0</v>
      </c>
      <c r="M65" s="13">
        <f t="shared" si="4"/>
        <v>0</v>
      </c>
    </row>
    <row r="66" spans="1:13">
      <c r="A66" s="7" t="s">
        <v>51</v>
      </c>
      <c r="B66" s="7" t="s">
        <v>21</v>
      </c>
      <c r="C66" s="9">
        <v>100</v>
      </c>
      <c r="D66" s="10"/>
      <c r="E66" s="11"/>
      <c r="F66" s="15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f>G66-'15'!D66</f>
        <v>0</v>
      </c>
      <c r="M66" s="13">
        <f t="shared" si="4"/>
        <v>0</v>
      </c>
    </row>
    <row r="67" spans="1:13">
      <c r="A67" s="35" t="s">
        <v>52</v>
      </c>
      <c r="B67" s="36"/>
      <c r="C67" s="37"/>
      <c r="D67" s="16">
        <f>SUM(D2:D66)</f>
        <v>3103</v>
      </c>
      <c r="E67" s="17">
        <f>SUM(E2:E66)</f>
        <v>957</v>
      </c>
      <c r="F67" s="18">
        <f>SUM(F2:F66)</f>
        <v>626902.59</v>
      </c>
      <c r="G67" s="17">
        <f>SUM(G2:G66)</f>
        <v>4060</v>
      </c>
      <c r="H67" s="19"/>
      <c r="I67" s="20">
        <f>SUM(I2:I66)</f>
        <v>1138033.3600000001</v>
      </c>
      <c r="J67" s="21">
        <f>SUM(J2:J66)</f>
        <v>39088</v>
      </c>
      <c r="K67" s="22">
        <f>SUM(K2:K66)</f>
        <v>1218189</v>
      </c>
      <c r="L67" s="23">
        <f>SUM(L2:L66)</f>
        <v>596</v>
      </c>
      <c r="M67" s="24">
        <f>SUM(M2:M66)</f>
        <v>335104</v>
      </c>
    </row>
    <row r="70" spans="1:13">
      <c r="F70" s="31"/>
    </row>
    <row r="73" spans="1:13">
      <c r="I73" s="33"/>
      <c r="J73" s="32"/>
      <c r="K73" s="33"/>
    </row>
    <row r="74" spans="1:13">
      <c r="I74" s="33"/>
      <c r="J74" s="32"/>
      <c r="K74" s="33"/>
    </row>
    <row r="75" spans="1:13">
      <c r="I75" s="33"/>
      <c r="J75" s="29"/>
      <c r="K75" s="30"/>
    </row>
    <row r="76" spans="1:13">
      <c r="D76" s="25" t="s">
        <v>53</v>
      </c>
      <c r="I76" s="33"/>
      <c r="J76" s="34"/>
      <c r="K76" s="34"/>
    </row>
    <row r="77" spans="1:13">
      <c r="I77" s="33"/>
      <c r="J77" s="32"/>
      <c r="K77" s="33"/>
    </row>
    <row r="78" spans="1:13">
      <c r="F78" s="26"/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</row>
  </sheetData>
  <mergeCells count="1">
    <mergeCell ref="A67:C6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80"/>
  <sheetViews>
    <sheetView topLeftCell="A52" workbookViewId="0">
      <selection activeCell="P66" sqref="P66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343</v>
      </c>
      <c r="E2" s="11"/>
      <c r="F2" s="9">
        <f>E2*H2</f>
        <v>0</v>
      </c>
      <c r="G2" s="11">
        <f>D2+E2</f>
        <v>343</v>
      </c>
      <c r="H2" s="12">
        <v>308.13</v>
      </c>
      <c r="I2" s="13">
        <f>H2*D2</f>
        <v>105688.59</v>
      </c>
      <c r="J2" s="14">
        <v>326</v>
      </c>
      <c r="K2" s="13">
        <f>J2*D2</f>
        <v>111818</v>
      </c>
      <c r="L2" s="11">
        <f>G2-'16'!D2</f>
        <v>17</v>
      </c>
      <c r="M2" s="13">
        <f>L2*J2</f>
        <v>5542</v>
      </c>
    </row>
    <row r="3" spans="1:13">
      <c r="A3" s="7" t="s">
        <v>12</v>
      </c>
      <c r="B3" s="8" t="s">
        <v>14</v>
      </c>
      <c r="C3" s="9">
        <v>9</v>
      </c>
      <c r="D3" s="10">
        <v>85</v>
      </c>
      <c r="E3" s="11"/>
      <c r="F3" s="9">
        <f t="shared" ref="F3:F66" si="0">E3*H3</f>
        <v>0</v>
      </c>
      <c r="G3" s="11">
        <f t="shared" ref="G3:G66" si="1">D3+E3</f>
        <v>85</v>
      </c>
      <c r="H3" s="12">
        <v>308.19</v>
      </c>
      <c r="I3" s="13">
        <f t="shared" ref="I3:I66" si="2">H3*D3</f>
        <v>26196.15</v>
      </c>
      <c r="J3" s="14">
        <v>326</v>
      </c>
      <c r="K3" s="13">
        <f t="shared" ref="K3:K66" si="3">J3*D3</f>
        <v>27710</v>
      </c>
      <c r="L3" s="11">
        <f>G3-'16'!D3</f>
        <v>3</v>
      </c>
      <c r="M3" s="13">
        <f t="shared" ref="M3:M66" si="4">L3*J3</f>
        <v>978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f>G4-'16'!D4</f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184</v>
      </c>
      <c r="E5" s="11"/>
      <c r="F5" s="9">
        <f t="shared" si="0"/>
        <v>0</v>
      </c>
      <c r="G5" s="11">
        <f t="shared" si="1"/>
        <v>184</v>
      </c>
      <c r="H5" s="12">
        <v>174.77</v>
      </c>
      <c r="I5" s="13">
        <f t="shared" si="2"/>
        <v>32157.68</v>
      </c>
      <c r="J5" s="14">
        <v>192</v>
      </c>
      <c r="K5" s="13">
        <f t="shared" si="3"/>
        <v>35328</v>
      </c>
      <c r="L5" s="11">
        <f>G5-'16'!D5</f>
        <v>2</v>
      </c>
      <c r="M5" s="13">
        <f t="shared" si="4"/>
        <v>384</v>
      </c>
    </row>
    <row r="6" spans="1:13">
      <c r="A6" s="7" t="s">
        <v>16</v>
      </c>
      <c r="B6" s="8" t="s">
        <v>18</v>
      </c>
      <c r="C6" s="9">
        <v>10</v>
      </c>
      <c r="D6" s="10">
        <v>184</v>
      </c>
      <c r="E6" s="11"/>
      <c r="F6" s="9">
        <f t="shared" si="0"/>
        <v>0</v>
      </c>
      <c r="G6" s="11">
        <f t="shared" si="1"/>
        <v>184</v>
      </c>
      <c r="H6" s="12">
        <v>174.77</v>
      </c>
      <c r="I6" s="13">
        <f t="shared" si="2"/>
        <v>32157.68</v>
      </c>
      <c r="J6" s="14">
        <v>192</v>
      </c>
      <c r="K6" s="13">
        <f t="shared" si="3"/>
        <v>35328</v>
      </c>
      <c r="L6" s="11">
        <f>G6-'16'!D6</f>
        <v>1</v>
      </c>
      <c r="M6" s="13">
        <f t="shared" si="4"/>
        <v>192</v>
      </c>
    </row>
    <row r="7" spans="1:13">
      <c r="A7" s="7" t="s">
        <v>16</v>
      </c>
      <c r="B7" s="8" t="s">
        <v>19</v>
      </c>
      <c r="C7" s="9">
        <v>10</v>
      </c>
      <c r="D7" s="10">
        <v>36</v>
      </c>
      <c r="E7" s="11"/>
      <c r="F7" s="9">
        <f t="shared" si="0"/>
        <v>0</v>
      </c>
      <c r="G7" s="11">
        <f t="shared" si="1"/>
        <v>36</v>
      </c>
      <c r="H7" s="12">
        <v>174.77</v>
      </c>
      <c r="I7" s="13">
        <f t="shared" si="2"/>
        <v>6291.72</v>
      </c>
      <c r="J7" s="14">
        <v>192</v>
      </c>
      <c r="K7" s="13">
        <f t="shared" si="3"/>
        <v>6912</v>
      </c>
      <c r="L7" s="11">
        <f>G7-'16'!D7</f>
        <v>0</v>
      </c>
      <c r="M7" s="13">
        <f t="shared" si="4"/>
        <v>0</v>
      </c>
    </row>
    <row r="8" spans="1:13">
      <c r="A8" s="7" t="s">
        <v>16</v>
      </c>
      <c r="B8" s="8" t="s">
        <v>20</v>
      </c>
      <c r="C8" s="9">
        <v>10</v>
      </c>
      <c r="D8" s="10">
        <v>26</v>
      </c>
      <c r="E8" s="11"/>
      <c r="F8" s="9">
        <f t="shared" si="0"/>
        <v>0</v>
      </c>
      <c r="G8" s="11">
        <f t="shared" si="1"/>
        <v>26</v>
      </c>
      <c r="H8" s="12">
        <v>174.77</v>
      </c>
      <c r="I8" s="13">
        <f t="shared" si="2"/>
        <v>4544.0200000000004</v>
      </c>
      <c r="J8" s="14">
        <v>192</v>
      </c>
      <c r="K8" s="13">
        <f t="shared" si="3"/>
        <v>4992</v>
      </c>
      <c r="L8" s="11">
        <f>G8-'16'!D8</f>
        <v>1</v>
      </c>
      <c r="M8" s="13">
        <f t="shared" si="4"/>
        <v>192</v>
      </c>
    </row>
    <row r="9" spans="1:13">
      <c r="A9" s="7" t="s">
        <v>16</v>
      </c>
      <c r="B9" s="8" t="s">
        <v>21</v>
      </c>
      <c r="C9" s="9">
        <v>10</v>
      </c>
      <c r="D9" s="10">
        <v>126</v>
      </c>
      <c r="E9" s="11"/>
      <c r="F9" s="9">
        <f t="shared" si="0"/>
        <v>0</v>
      </c>
      <c r="G9" s="11">
        <f t="shared" si="1"/>
        <v>126</v>
      </c>
      <c r="H9" s="12">
        <v>174.77</v>
      </c>
      <c r="I9" s="13">
        <f t="shared" si="2"/>
        <v>22021.02</v>
      </c>
      <c r="J9" s="14">
        <v>192</v>
      </c>
      <c r="K9" s="13">
        <f t="shared" si="3"/>
        <v>24192</v>
      </c>
      <c r="L9" s="11">
        <f>G9-'16'!D9</f>
        <v>0</v>
      </c>
      <c r="M9" s="13">
        <f t="shared" si="4"/>
        <v>0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f>G10-'16'!D10</f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19</v>
      </c>
      <c r="E11" s="11"/>
      <c r="F11" s="9">
        <f t="shared" si="0"/>
        <v>0</v>
      </c>
      <c r="G11" s="11">
        <f t="shared" si="1"/>
        <v>19</v>
      </c>
      <c r="H11" s="12">
        <v>470.8</v>
      </c>
      <c r="I11" s="13">
        <f t="shared" si="2"/>
        <v>8945.2000000000007</v>
      </c>
      <c r="J11" s="14">
        <v>505</v>
      </c>
      <c r="K11" s="13">
        <f t="shared" si="3"/>
        <v>9595</v>
      </c>
      <c r="L11" s="11">
        <f>G11-'16'!D11</f>
        <v>1</v>
      </c>
      <c r="M11" s="13">
        <f t="shared" si="4"/>
        <v>505</v>
      </c>
    </row>
    <row r="12" spans="1:13">
      <c r="A12" s="7" t="s">
        <v>22</v>
      </c>
      <c r="B12" s="8" t="s">
        <v>17</v>
      </c>
      <c r="C12" s="9">
        <v>20</v>
      </c>
      <c r="D12" s="10">
        <v>323</v>
      </c>
      <c r="E12" s="11"/>
      <c r="F12" s="9">
        <f>E12*H12</f>
        <v>0</v>
      </c>
      <c r="G12" s="11">
        <f t="shared" si="1"/>
        <v>323</v>
      </c>
      <c r="H12" s="12">
        <v>475.77</v>
      </c>
      <c r="I12" s="13">
        <f t="shared" si="2"/>
        <v>153673.71</v>
      </c>
      <c r="J12" s="14">
        <v>505</v>
      </c>
      <c r="K12" s="13">
        <f t="shared" si="3"/>
        <v>163115</v>
      </c>
      <c r="L12" s="11">
        <f>G12-'16'!D12</f>
        <v>88</v>
      </c>
      <c r="M12" s="13">
        <f t="shared" si="4"/>
        <v>44440</v>
      </c>
    </row>
    <row r="13" spans="1:13">
      <c r="A13" s="7" t="s">
        <v>22</v>
      </c>
      <c r="B13" s="8" t="s">
        <v>18</v>
      </c>
      <c r="C13" s="9">
        <v>20</v>
      </c>
      <c r="D13" s="10">
        <v>213</v>
      </c>
      <c r="E13" s="11"/>
      <c r="F13" s="9">
        <f t="shared" si="0"/>
        <v>0</v>
      </c>
      <c r="G13" s="11">
        <f t="shared" si="1"/>
        <v>213</v>
      </c>
      <c r="H13" s="12">
        <v>475.77</v>
      </c>
      <c r="I13" s="13">
        <f t="shared" si="2"/>
        <v>101339.01</v>
      </c>
      <c r="J13" s="14">
        <v>505</v>
      </c>
      <c r="K13" s="13">
        <f t="shared" si="3"/>
        <v>107565</v>
      </c>
      <c r="L13" s="11">
        <f>G13-'16'!D13</f>
        <v>65</v>
      </c>
      <c r="M13" s="13">
        <f t="shared" si="4"/>
        <v>32825</v>
      </c>
    </row>
    <row r="14" spans="1:13">
      <c r="A14" s="7" t="s">
        <v>22</v>
      </c>
      <c r="B14" s="8" t="s">
        <v>19</v>
      </c>
      <c r="C14" s="9">
        <v>20</v>
      </c>
      <c r="D14" s="10">
        <v>49</v>
      </c>
      <c r="E14" s="11"/>
      <c r="F14" s="9">
        <f t="shared" si="0"/>
        <v>0</v>
      </c>
      <c r="G14" s="11">
        <f t="shared" si="1"/>
        <v>49</v>
      </c>
      <c r="H14" s="12">
        <v>470.8</v>
      </c>
      <c r="I14" s="13">
        <f t="shared" si="2"/>
        <v>23069.200000000001</v>
      </c>
      <c r="J14" s="14">
        <v>505</v>
      </c>
      <c r="K14" s="13">
        <f t="shared" si="3"/>
        <v>24745</v>
      </c>
      <c r="L14" s="11">
        <f>G14-'16'!D14</f>
        <v>10</v>
      </c>
      <c r="M14" s="13">
        <f t="shared" si="4"/>
        <v>5050</v>
      </c>
    </row>
    <row r="15" spans="1:13">
      <c r="A15" s="7" t="s">
        <v>22</v>
      </c>
      <c r="B15" s="8" t="s">
        <v>20</v>
      </c>
      <c r="C15" s="9">
        <v>20</v>
      </c>
      <c r="D15" s="10">
        <v>41</v>
      </c>
      <c r="E15" s="11"/>
      <c r="F15" s="9">
        <f t="shared" si="0"/>
        <v>0</v>
      </c>
      <c r="G15" s="11">
        <f t="shared" si="1"/>
        <v>41</v>
      </c>
      <c r="H15" s="12">
        <v>470.8</v>
      </c>
      <c r="I15" s="13">
        <f t="shared" si="2"/>
        <v>19302.8</v>
      </c>
      <c r="J15" s="14">
        <v>505</v>
      </c>
      <c r="K15" s="13">
        <f t="shared" si="3"/>
        <v>20705</v>
      </c>
      <c r="L15" s="11">
        <f>G15-'16'!D15</f>
        <v>7</v>
      </c>
      <c r="M15" s="13">
        <f t="shared" si="4"/>
        <v>3535</v>
      </c>
    </row>
    <row r="16" spans="1:13">
      <c r="A16" s="7" t="s">
        <v>22</v>
      </c>
      <c r="B16" s="8" t="s">
        <v>21</v>
      </c>
      <c r="C16" s="9">
        <v>20</v>
      </c>
      <c r="D16" s="10"/>
      <c r="E16" s="11"/>
      <c r="F16" s="9">
        <f t="shared" si="0"/>
        <v>0</v>
      </c>
      <c r="G16" s="11">
        <f t="shared" si="1"/>
        <v>0</v>
      </c>
      <c r="H16" s="12">
        <v>470.8</v>
      </c>
      <c r="I16" s="13">
        <f t="shared" si="2"/>
        <v>0</v>
      </c>
      <c r="J16" s="14">
        <v>505</v>
      </c>
      <c r="K16" s="13">
        <f t="shared" si="3"/>
        <v>0</v>
      </c>
      <c r="L16" s="11">
        <f>G16-'16'!D16</f>
        <v>0</v>
      </c>
      <c r="M16" s="13">
        <f t="shared" si="4"/>
        <v>0</v>
      </c>
    </row>
    <row r="17" spans="1:13">
      <c r="A17" s="7" t="s">
        <v>22</v>
      </c>
      <c r="B17" s="8" t="s">
        <v>29</v>
      </c>
      <c r="C17" s="9">
        <v>11</v>
      </c>
      <c r="D17" s="10">
        <v>36</v>
      </c>
      <c r="E17" s="11"/>
      <c r="F17" s="9">
        <f t="shared" si="0"/>
        <v>0</v>
      </c>
      <c r="G17" s="11">
        <f t="shared" si="1"/>
        <v>36</v>
      </c>
      <c r="H17" s="12">
        <v>235.59</v>
      </c>
      <c r="I17" s="13">
        <f t="shared" si="2"/>
        <v>8481.24</v>
      </c>
      <c r="J17" s="14">
        <v>250</v>
      </c>
      <c r="K17" s="13">
        <f t="shared" si="3"/>
        <v>9000</v>
      </c>
      <c r="L17" s="11">
        <f>G17-'16'!D17</f>
        <v>6</v>
      </c>
      <c r="M17" s="13">
        <f t="shared" si="4"/>
        <v>1500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f>G18-'16'!D18</f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/>
      <c r="E19" s="11"/>
      <c r="F19" s="9">
        <f t="shared" si="0"/>
        <v>0</v>
      </c>
      <c r="G19" s="11">
        <f t="shared" si="1"/>
        <v>0</v>
      </c>
      <c r="H19" s="12">
        <v>204</v>
      </c>
      <c r="I19" s="13">
        <f t="shared" si="2"/>
        <v>0</v>
      </c>
      <c r="J19" s="14">
        <v>230</v>
      </c>
      <c r="K19" s="13">
        <f t="shared" si="3"/>
        <v>0</v>
      </c>
      <c r="L19" s="11">
        <f>G19-'16'!D19</f>
        <v>0</v>
      </c>
      <c r="M19" s="13">
        <f t="shared" si="4"/>
        <v>0</v>
      </c>
    </row>
    <row r="20" spans="1:13">
      <c r="A20" s="7" t="s">
        <v>22</v>
      </c>
      <c r="B20" s="8" t="s">
        <v>25</v>
      </c>
      <c r="C20" s="9">
        <v>10</v>
      </c>
      <c r="D20" s="10"/>
      <c r="E20" s="11"/>
      <c r="F20" s="9">
        <f t="shared" si="0"/>
        <v>0</v>
      </c>
      <c r="G20" s="11">
        <f t="shared" si="1"/>
        <v>0</v>
      </c>
      <c r="H20" s="12">
        <v>204</v>
      </c>
      <c r="I20" s="13">
        <f>H20*D20</f>
        <v>0</v>
      </c>
      <c r="J20" s="14">
        <v>230</v>
      </c>
      <c r="K20" s="13">
        <f t="shared" si="3"/>
        <v>0</v>
      </c>
      <c r="L20" s="11">
        <f>G20-'16'!D20</f>
        <v>0</v>
      </c>
      <c r="M20" s="13">
        <f t="shared" si="4"/>
        <v>0</v>
      </c>
    </row>
    <row r="21" spans="1:13">
      <c r="A21" s="7" t="s">
        <v>22</v>
      </c>
      <c r="B21" s="8" t="s">
        <v>26</v>
      </c>
      <c r="C21" s="9">
        <v>10</v>
      </c>
      <c r="D21" s="10">
        <v>15</v>
      </c>
      <c r="E21" s="11"/>
      <c r="F21" s="9">
        <f t="shared" si="0"/>
        <v>0</v>
      </c>
      <c r="G21" s="11">
        <f t="shared" si="1"/>
        <v>15</v>
      </c>
      <c r="H21" s="12">
        <v>204</v>
      </c>
      <c r="I21" s="13">
        <f t="shared" si="2"/>
        <v>3060</v>
      </c>
      <c r="J21" s="14">
        <v>230</v>
      </c>
      <c r="K21" s="13">
        <f t="shared" si="3"/>
        <v>3450</v>
      </c>
      <c r="L21" s="11">
        <f>G21-'16'!D21</f>
        <v>1</v>
      </c>
      <c r="M21" s="13">
        <f t="shared" si="4"/>
        <v>230</v>
      </c>
    </row>
    <row r="22" spans="1:13">
      <c r="A22" s="7" t="s">
        <v>22</v>
      </c>
      <c r="B22" s="8" t="s">
        <v>13</v>
      </c>
      <c r="C22" s="9">
        <v>19</v>
      </c>
      <c r="D22" s="10">
        <v>15</v>
      </c>
      <c r="E22" s="11"/>
      <c r="F22" s="9">
        <f t="shared" si="0"/>
        <v>0</v>
      </c>
      <c r="G22" s="11">
        <f t="shared" si="1"/>
        <v>15</v>
      </c>
      <c r="H22" s="12">
        <v>474.46</v>
      </c>
      <c r="I22" s="13">
        <f t="shared" si="2"/>
        <v>7116.9</v>
      </c>
      <c r="J22" s="14">
        <v>505</v>
      </c>
      <c r="K22" s="13">
        <f t="shared" si="3"/>
        <v>7575</v>
      </c>
      <c r="L22" s="11">
        <f>G22-'16'!D22</f>
        <v>15</v>
      </c>
      <c r="M22" s="13">
        <f t="shared" si="4"/>
        <v>7575</v>
      </c>
    </row>
    <row r="23" spans="1:13">
      <c r="A23" s="7" t="s">
        <v>22</v>
      </c>
      <c r="B23" s="8" t="s">
        <v>27</v>
      </c>
      <c r="C23" s="9">
        <v>24</v>
      </c>
      <c r="D23" s="10">
        <v>62</v>
      </c>
      <c r="E23" s="11"/>
      <c r="F23" s="9">
        <f t="shared" si="0"/>
        <v>0</v>
      </c>
      <c r="G23" s="11">
        <f t="shared" si="1"/>
        <v>62</v>
      </c>
      <c r="H23" s="12">
        <v>593.91999999999996</v>
      </c>
      <c r="I23" s="13">
        <f t="shared" si="2"/>
        <v>36823.040000000001</v>
      </c>
      <c r="J23" s="14">
        <v>630</v>
      </c>
      <c r="K23" s="13">
        <f t="shared" si="3"/>
        <v>39060</v>
      </c>
      <c r="L23" s="11">
        <f>G23-'16'!D23</f>
        <v>18</v>
      </c>
      <c r="M23" s="13">
        <f t="shared" si="4"/>
        <v>11340</v>
      </c>
    </row>
    <row r="24" spans="1:13">
      <c r="A24" s="7" t="s">
        <v>30</v>
      </c>
      <c r="B24" s="8" t="s">
        <v>17</v>
      </c>
      <c r="C24" s="9">
        <v>25</v>
      </c>
      <c r="D24" s="10">
        <v>54</v>
      </c>
      <c r="E24" s="10"/>
      <c r="F24" s="9">
        <f t="shared" si="0"/>
        <v>0</v>
      </c>
      <c r="G24" s="11">
        <f t="shared" si="1"/>
        <v>54</v>
      </c>
      <c r="H24" s="12">
        <v>453.3</v>
      </c>
      <c r="I24" s="13">
        <f t="shared" si="2"/>
        <v>24478.2</v>
      </c>
      <c r="J24" s="14">
        <v>493</v>
      </c>
      <c r="K24" s="13">
        <f t="shared" si="3"/>
        <v>26622</v>
      </c>
      <c r="L24" s="11">
        <f>G24-'16'!D24</f>
        <v>0</v>
      </c>
      <c r="M24" s="13">
        <f t="shared" si="4"/>
        <v>0</v>
      </c>
    </row>
    <row r="25" spans="1:13">
      <c r="A25" s="7" t="s">
        <v>30</v>
      </c>
      <c r="B25" s="8" t="s">
        <v>18</v>
      </c>
      <c r="C25" s="9">
        <v>25</v>
      </c>
      <c r="D25" s="10"/>
      <c r="E25" s="10"/>
      <c r="F25" s="9">
        <f t="shared" si="0"/>
        <v>0</v>
      </c>
      <c r="G25" s="11">
        <f t="shared" si="1"/>
        <v>0</v>
      </c>
      <c r="H25" s="12">
        <v>453.3</v>
      </c>
      <c r="I25" s="13">
        <f t="shared" si="2"/>
        <v>0</v>
      </c>
      <c r="J25" s="14">
        <v>493</v>
      </c>
      <c r="K25" s="13">
        <f t="shared" si="3"/>
        <v>0</v>
      </c>
      <c r="L25" s="11">
        <f>G25-'16'!D25</f>
        <v>0</v>
      </c>
      <c r="M25" s="13">
        <f t="shared" si="4"/>
        <v>0</v>
      </c>
    </row>
    <row r="26" spans="1:13">
      <c r="A26" s="7" t="s">
        <v>30</v>
      </c>
      <c r="B26" s="8" t="s">
        <v>20</v>
      </c>
      <c r="C26" s="9">
        <v>25</v>
      </c>
      <c r="D26" s="10"/>
      <c r="E26" s="10"/>
      <c r="F26" s="9">
        <f t="shared" si="0"/>
        <v>0</v>
      </c>
      <c r="G26" s="11">
        <f t="shared" si="1"/>
        <v>0</v>
      </c>
      <c r="H26" s="12">
        <v>453.3</v>
      </c>
      <c r="I26" s="13">
        <f t="shared" si="2"/>
        <v>0</v>
      </c>
      <c r="J26" s="14">
        <v>493</v>
      </c>
      <c r="K26" s="13">
        <f t="shared" si="3"/>
        <v>0</v>
      </c>
      <c r="L26" s="11">
        <f>G26-'16'!D26</f>
        <v>0</v>
      </c>
      <c r="M26" s="13">
        <f t="shared" si="4"/>
        <v>0</v>
      </c>
    </row>
    <row r="27" spans="1:13">
      <c r="A27" s="7" t="s">
        <v>30</v>
      </c>
      <c r="B27" s="8" t="s">
        <v>21</v>
      </c>
      <c r="C27" s="9">
        <v>25</v>
      </c>
      <c r="D27" s="10"/>
      <c r="E27" s="10"/>
      <c r="F27" s="9">
        <f t="shared" si="0"/>
        <v>0</v>
      </c>
      <c r="G27" s="11">
        <f t="shared" si="1"/>
        <v>0</v>
      </c>
      <c r="H27" s="12">
        <v>453.3</v>
      </c>
      <c r="I27" s="13">
        <f t="shared" si="2"/>
        <v>0</v>
      </c>
      <c r="J27" s="14">
        <v>493</v>
      </c>
      <c r="K27" s="13">
        <f t="shared" si="3"/>
        <v>0</v>
      </c>
      <c r="L27" s="11">
        <f>G27-'16'!D28</f>
        <v>0</v>
      </c>
      <c r="M27" s="13">
        <f t="shared" si="4"/>
        <v>0</v>
      </c>
    </row>
    <row r="28" spans="1:13">
      <c r="A28" s="7" t="s">
        <v>31</v>
      </c>
      <c r="B28" s="7" t="s">
        <v>17</v>
      </c>
      <c r="C28" s="9">
        <v>40</v>
      </c>
      <c r="D28" s="10"/>
      <c r="E28" s="10"/>
      <c r="F28" s="9">
        <f t="shared" si="0"/>
        <v>0</v>
      </c>
      <c r="G28" s="11">
        <f t="shared" si="1"/>
        <v>0</v>
      </c>
      <c r="H28" s="12">
        <v>821.36</v>
      </c>
      <c r="I28" s="13">
        <f t="shared" si="2"/>
        <v>0</v>
      </c>
      <c r="J28" s="14">
        <v>878</v>
      </c>
      <c r="K28" s="13">
        <f t="shared" si="3"/>
        <v>0</v>
      </c>
      <c r="L28" s="11">
        <f>G28-'16'!D29</f>
        <v>0</v>
      </c>
      <c r="M28" s="13">
        <f t="shared" si="4"/>
        <v>0</v>
      </c>
    </row>
    <row r="29" spans="1:13">
      <c r="A29" s="7" t="s">
        <v>31</v>
      </c>
      <c r="B29" s="7" t="s">
        <v>18</v>
      </c>
      <c r="C29" s="9">
        <v>40</v>
      </c>
      <c r="D29" s="10"/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f>G29-'16'!D30</f>
        <v>0</v>
      </c>
      <c r="M29" s="13">
        <f t="shared" si="4"/>
        <v>0</v>
      </c>
    </row>
    <row r="30" spans="1:13">
      <c r="A30" s="7" t="s">
        <v>31</v>
      </c>
      <c r="B30" s="7" t="s">
        <v>19</v>
      </c>
      <c r="C30" s="9">
        <v>40</v>
      </c>
      <c r="D30" s="10"/>
      <c r="E30" s="10"/>
      <c r="F30" s="9">
        <f t="shared" si="0"/>
        <v>0</v>
      </c>
      <c r="G30" s="11">
        <f t="shared" si="1"/>
        <v>0</v>
      </c>
      <c r="H30" s="12">
        <v>817.58</v>
      </c>
      <c r="I30" s="13">
        <f t="shared" si="2"/>
        <v>0</v>
      </c>
      <c r="J30" s="14">
        <v>878</v>
      </c>
      <c r="K30" s="13">
        <f t="shared" si="3"/>
        <v>0</v>
      </c>
      <c r="L30" s="11">
        <f>G30-'16'!D31</f>
        <v>0</v>
      </c>
      <c r="M30" s="13">
        <f t="shared" si="4"/>
        <v>0</v>
      </c>
    </row>
    <row r="31" spans="1:13">
      <c r="A31" s="7" t="s">
        <v>31</v>
      </c>
      <c r="B31" s="7" t="s">
        <v>20</v>
      </c>
      <c r="C31" s="9">
        <v>40</v>
      </c>
      <c r="D31" s="10"/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f>G31-'16'!D32</f>
        <v>0</v>
      </c>
      <c r="M31" s="13">
        <f t="shared" si="4"/>
        <v>0</v>
      </c>
    </row>
    <row r="32" spans="1:13">
      <c r="A32" s="7" t="s">
        <v>31</v>
      </c>
      <c r="B32" s="7" t="s">
        <v>21</v>
      </c>
      <c r="C32" s="9">
        <v>40</v>
      </c>
      <c r="D32" s="10"/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f>G32-'16'!D33</f>
        <v>0</v>
      </c>
      <c r="M32" s="13">
        <f t="shared" si="4"/>
        <v>0</v>
      </c>
    </row>
    <row r="33" spans="1:13">
      <c r="A33" s="7" t="s">
        <v>31</v>
      </c>
      <c r="B33" s="7" t="s">
        <v>32</v>
      </c>
      <c r="C33" s="9">
        <v>40</v>
      </c>
      <c r="D33" s="10"/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f>G33-'16'!D34</f>
        <v>0</v>
      </c>
      <c r="M33" s="13">
        <f t="shared" si="4"/>
        <v>0</v>
      </c>
    </row>
    <row r="34" spans="1:13">
      <c r="A34" s="7" t="s">
        <v>31</v>
      </c>
      <c r="B34" s="7" t="s">
        <v>33</v>
      </c>
      <c r="C34" s="9">
        <v>60</v>
      </c>
      <c r="D34" s="10">
        <v>268</v>
      </c>
      <c r="E34" s="10"/>
      <c r="F34" s="9">
        <f t="shared" si="0"/>
        <v>0</v>
      </c>
      <c r="G34" s="11">
        <f t="shared" si="1"/>
        <v>268</v>
      </c>
      <c r="H34" s="12">
        <v>1042.6500000000001</v>
      </c>
      <c r="I34" s="13">
        <f t="shared" si="2"/>
        <v>279430.2</v>
      </c>
      <c r="J34" s="14">
        <v>1110</v>
      </c>
      <c r="K34" s="13">
        <f t="shared" si="3"/>
        <v>297480</v>
      </c>
      <c r="L34" s="11">
        <f>G34-'16'!D35</f>
        <v>18</v>
      </c>
      <c r="M34" s="13">
        <f t="shared" si="4"/>
        <v>19980</v>
      </c>
    </row>
    <row r="35" spans="1:13">
      <c r="A35" s="7" t="s">
        <v>34</v>
      </c>
      <c r="B35" s="7" t="s">
        <v>35</v>
      </c>
      <c r="C35" s="9">
        <v>7</v>
      </c>
      <c r="D35" s="10"/>
      <c r="E35" s="10"/>
      <c r="F35" s="9">
        <f t="shared" si="0"/>
        <v>0</v>
      </c>
      <c r="G35" s="11">
        <f t="shared" si="1"/>
        <v>0</v>
      </c>
      <c r="H35" s="12">
        <v>126.24</v>
      </c>
      <c r="I35" s="13">
        <f t="shared" si="2"/>
        <v>0</v>
      </c>
      <c r="J35" s="14">
        <v>140</v>
      </c>
      <c r="K35" s="13">
        <f t="shared" si="3"/>
        <v>0</v>
      </c>
      <c r="L35" s="11">
        <f>G35-'16'!D36</f>
        <v>0</v>
      </c>
      <c r="M35" s="13">
        <f t="shared" si="4"/>
        <v>0</v>
      </c>
    </row>
    <row r="36" spans="1:13">
      <c r="A36" s="7" t="s">
        <v>36</v>
      </c>
      <c r="B36" s="7" t="s">
        <v>37</v>
      </c>
      <c r="C36" s="9">
        <v>125</v>
      </c>
      <c r="D36" s="10">
        <v>45</v>
      </c>
      <c r="E36" s="10"/>
      <c r="F36" s="9">
        <f t="shared" si="0"/>
        <v>0</v>
      </c>
      <c r="G36" s="11">
        <f t="shared" si="1"/>
        <v>45</v>
      </c>
      <c r="H36" s="12">
        <v>2050.54</v>
      </c>
      <c r="I36" s="13">
        <f t="shared" si="2"/>
        <v>92274.3</v>
      </c>
      <c r="J36" s="14">
        <v>2175</v>
      </c>
      <c r="K36" s="13">
        <f t="shared" si="3"/>
        <v>97875</v>
      </c>
      <c r="L36" s="11">
        <f>G36-'16'!D37</f>
        <v>6</v>
      </c>
      <c r="M36" s="13">
        <f t="shared" si="4"/>
        <v>13050</v>
      </c>
    </row>
    <row r="37" spans="1:13">
      <c r="A37" s="7" t="s">
        <v>38</v>
      </c>
      <c r="B37" s="7" t="s">
        <v>17</v>
      </c>
      <c r="C37" s="9">
        <v>20</v>
      </c>
      <c r="D37" s="10">
        <v>2</v>
      </c>
      <c r="E37" s="10"/>
      <c r="F37" s="9">
        <f t="shared" si="0"/>
        <v>0</v>
      </c>
      <c r="G37" s="11">
        <f t="shared" si="1"/>
        <v>2</v>
      </c>
      <c r="H37" s="12">
        <v>399.19</v>
      </c>
      <c r="I37" s="13">
        <f t="shared" si="2"/>
        <v>798.38</v>
      </c>
      <c r="J37" s="14">
        <v>420</v>
      </c>
      <c r="K37" s="13">
        <f t="shared" si="3"/>
        <v>840</v>
      </c>
      <c r="L37" s="11">
        <f>G37-'16'!D38</f>
        <v>1</v>
      </c>
      <c r="M37" s="13">
        <f t="shared" si="4"/>
        <v>420</v>
      </c>
    </row>
    <row r="38" spans="1:13">
      <c r="A38" s="7" t="s">
        <v>38</v>
      </c>
      <c r="B38" s="7" t="s">
        <v>18</v>
      </c>
      <c r="C38" s="9">
        <v>20</v>
      </c>
      <c r="D38" s="10"/>
      <c r="E38" s="10"/>
      <c r="F38" s="9">
        <f t="shared" si="0"/>
        <v>0</v>
      </c>
      <c r="G38" s="11">
        <f t="shared" si="1"/>
        <v>0</v>
      </c>
      <c r="H38" s="12">
        <v>399.19</v>
      </c>
      <c r="I38" s="13">
        <f t="shared" si="2"/>
        <v>0</v>
      </c>
      <c r="J38" s="14">
        <v>420</v>
      </c>
      <c r="K38" s="13">
        <f t="shared" si="3"/>
        <v>0</v>
      </c>
      <c r="L38" s="11">
        <f>G38-'16'!D39</f>
        <v>0</v>
      </c>
      <c r="M38" s="13">
        <f t="shared" si="4"/>
        <v>0</v>
      </c>
    </row>
    <row r="39" spans="1:13">
      <c r="A39" s="7" t="s">
        <v>38</v>
      </c>
      <c r="B39" s="7" t="s">
        <v>21</v>
      </c>
      <c r="C39" s="9">
        <v>20</v>
      </c>
      <c r="D39" s="10"/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f>G39-'16'!D40</f>
        <v>0</v>
      </c>
      <c r="M39" s="13">
        <f t="shared" si="4"/>
        <v>0</v>
      </c>
    </row>
    <row r="40" spans="1:13">
      <c r="A40" s="7" t="s">
        <v>39</v>
      </c>
      <c r="B40" s="7" t="s">
        <v>35</v>
      </c>
      <c r="C40" s="9">
        <v>9</v>
      </c>
      <c r="D40" s="10">
        <v>26</v>
      </c>
      <c r="E40" s="10"/>
      <c r="F40" s="9">
        <f t="shared" si="0"/>
        <v>0</v>
      </c>
      <c r="G40" s="11">
        <f t="shared" si="1"/>
        <v>26</v>
      </c>
      <c r="H40" s="12">
        <v>174.19</v>
      </c>
      <c r="I40" s="13">
        <f t="shared" si="2"/>
        <v>4528.9399999999996</v>
      </c>
      <c r="J40" s="14">
        <v>185</v>
      </c>
      <c r="K40" s="13">
        <f t="shared" si="3"/>
        <v>4810</v>
      </c>
      <c r="L40" s="11">
        <f>G40-'16'!D41</f>
        <v>1</v>
      </c>
      <c r="M40" s="13">
        <f t="shared" si="4"/>
        <v>185</v>
      </c>
    </row>
    <row r="41" spans="1:13">
      <c r="A41" s="7" t="s">
        <v>40</v>
      </c>
      <c r="B41" s="7" t="s">
        <v>13</v>
      </c>
      <c r="C41" s="9">
        <v>35</v>
      </c>
      <c r="D41" s="10">
        <v>9</v>
      </c>
      <c r="E41" s="10"/>
      <c r="F41" s="9">
        <f t="shared" si="0"/>
        <v>0</v>
      </c>
      <c r="G41" s="11">
        <f t="shared" si="1"/>
        <v>9</v>
      </c>
      <c r="H41" s="12">
        <v>748.13</v>
      </c>
      <c r="I41" s="13">
        <f t="shared" si="2"/>
        <v>6733.17</v>
      </c>
      <c r="J41" s="14">
        <v>795</v>
      </c>
      <c r="K41" s="13">
        <f t="shared" si="3"/>
        <v>7155</v>
      </c>
      <c r="L41" s="11">
        <f>G41-'16'!D42</f>
        <v>4</v>
      </c>
      <c r="M41" s="13">
        <f t="shared" si="4"/>
        <v>3180</v>
      </c>
    </row>
    <row r="42" spans="1:13">
      <c r="A42" s="7" t="s">
        <v>41</v>
      </c>
      <c r="B42" s="7" t="s">
        <v>17</v>
      </c>
      <c r="C42" s="9">
        <v>40</v>
      </c>
      <c r="D42" s="10">
        <v>56</v>
      </c>
      <c r="E42" s="10"/>
      <c r="F42" s="9">
        <f t="shared" si="0"/>
        <v>0</v>
      </c>
      <c r="G42" s="11">
        <f t="shared" si="1"/>
        <v>56</v>
      </c>
      <c r="H42" s="12">
        <v>842.86</v>
      </c>
      <c r="I42" s="13">
        <f t="shared" si="2"/>
        <v>47200.160000000003</v>
      </c>
      <c r="J42" s="14">
        <v>900</v>
      </c>
      <c r="K42" s="13">
        <f t="shared" si="3"/>
        <v>50400</v>
      </c>
      <c r="L42" s="11">
        <f>G42-'16'!D43</f>
        <v>4</v>
      </c>
      <c r="M42" s="13">
        <f t="shared" si="4"/>
        <v>3600</v>
      </c>
    </row>
    <row r="43" spans="1:13">
      <c r="A43" s="7" t="s">
        <v>41</v>
      </c>
      <c r="B43" s="7" t="s">
        <v>18</v>
      </c>
      <c r="C43" s="9">
        <v>40</v>
      </c>
      <c r="D43" s="10">
        <v>39</v>
      </c>
      <c r="E43" s="10"/>
      <c r="F43" s="9">
        <f t="shared" si="0"/>
        <v>0</v>
      </c>
      <c r="G43" s="11">
        <f t="shared" si="1"/>
        <v>39</v>
      </c>
      <c r="H43" s="12">
        <v>842.86</v>
      </c>
      <c r="I43" s="13">
        <f t="shared" si="2"/>
        <v>32871.54</v>
      </c>
      <c r="J43" s="14">
        <v>900</v>
      </c>
      <c r="K43" s="13">
        <f t="shared" si="3"/>
        <v>35100</v>
      </c>
      <c r="L43" s="11">
        <f>G43-'16'!D44</f>
        <v>2</v>
      </c>
      <c r="M43" s="13">
        <f t="shared" si="4"/>
        <v>1800</v>
      </c>
    </row>
    <row r="44" spans="1:13">
      <c r="A44" s="7" t="s">
        <v>41</v>
      </c>
      <c r="B44" s="7" t="s">
        <v>19</v>
      </c>
      <c r="C44" s="9">
        <v>40</v>
      </c>
      <c r="D44" s="10"/>
      <c r="E44" s="10"/>
      <c r="F44" s="9">
        <f t="shared" si="0"/>
        <v>0</v>
      </c>
      <c r="G44" s="11">
        <f t="shared" si="1"/>
        <v>0</v>
      </c>
      <c r="H44" s="12">
        <v>839.68</v>
      </c>
      <c r="I44" s="13">
        <f t="shared" si="2"/>
        <v>0</v>
      </c>
      <c r="J44" s="14">
        <v>900</v>
      </c>
      <c r="K44" s="13">
        <f t="shared" si="3"/>
        <v>0</v>
      </c>
      <c r="L44" s="11">
        <f>G44-'16'!D45</f>
        <v>0</v>
      </c>
      <c r="M44" s="13">
        <f t="shared" si="4"/>
        <v>0</v>
      </c>
    </row>
    <row r="45" spans="1:13">
      <c r="A45" s="7" t="s">
        <v>41</v>
      </c>
      <c r="B45" s="7" t="s">
        <v>20</v>
      </c>
      <c r="C45" s="9">
        <v>40</v>
      </c>
      <c r="D45" s="10"/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f>G45-'16'!D46</f>
        <v>0</v>
      </c>
      <c r="M45" s="13">
        <f t="shared" si="4"/>
        <v>0</v>
      </c>
    </row>
    <row r="46" spans="1:13">
      <c r="A46" s="7" t="s">
        <v>41</v>
      </c>
      <c r="B46" s="7" t="s">
        <v>21</v>
      </c>
      <c r="C46" s="9">
        <v>40</v>
      </c>
      <c r="D46" s="10"/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f>G46-'16'!D47</f>
        <v>0</v>
      </c>
      <c r="M46" s="13">
        <f t="shared" si="4"/>
        <v>0</v>
      </c>
    </row>
    <row r="47" spans="1:13">
      <c r="A47" s="7" t="s">
        <v>42</v>
      </c>
      <c r="B47" s="7" t="s">
        <v>29</v>
      </c>
      <c r="C47" s="9">
        <v>18</v>
      </c>
      <c r="D47" s="10">
        <v>10</v>
      </c>
      <c r="E47" s="10"/>
      <c r="F47" s="9">
        <f t="shared" si="0"/>
        <v>0</v>
      </c>
      <c r="G47" s="11">
        <f t="shared" si="1"/>
        <v>10</v>
      </c>
      <c r="H47" s="12">
        <v>375.68</v>
      </c>
      <c r="I47" s="13">
        <f t="shared" si="2"/>
        <v>3756.8</v>
      </c>
      <c r="J47" s="14">
        <v>400</v>
      </c>
      <c r="K47" s="13">
        <f t="shared" si="3"/>
        <v>4000</v>
      </c>
      <c r="L47" s="11">
        <f>G47-'16'!D48</f>
        <v>4</v>
      </c>
      <c r="M47" s="13">
        <f t="shared" si="4"/>
        <v>1600</v>
      </c>
    </row>
    <row r="48" spans="1:13">
      <c r="A48" s="7" t="s">
        <v>54</v>
      </c>
      <c r="B48" s="7" t="s">
        <v>44</v>
      </c>
      <c r="C48" s="9">
        <v>50</v>
      </c>
      <c r="D48" s="11">
        <v>1</v>
      </c>
      <c r="E48" s="11"/>
      <c r="F48" s="9">
        <f t="shared" si="0"/>
        <v>0</v>
      </c>
      <c r="G48" s="11">
        <f t="shared" si="1"/>
        <v>1</v>
      </c>
      <c r="H48" s="12">
        <v>670.32</v>
      </c>
      <c r="I48" s="13">
        <f t="shared" si="2"/>
        <v>670.32</v>
      </c>
      <c r="J48" s="14">
        <v>710</v>
      </c>
      <c r="K48" s="13">
        <f t="shared" si="3"/>
        <v>710</v>
      </c>
      <c r="L48" s="11">
        <f>G48-'16'!D49</f>
        <v>1</v>
      </c>
      <c r="M48" s="13">
        <f t="shared" si="4"/>
        <v>710</v>
      </c>
    </row>
    <row r="49" spans="1:13">
      <c r="A49" s="7" t="s">
        <v>43</v>
      </c>
      <c r="B49" s="7" t="s">
        <v>17</v>
      </c>
      <c r="C49" s="9">
        <v>50</v>
      </c>
      <c r="D49" s="10">
        <v>78</v>
      </c>
      <c r="E49" s="10"/>
      <c r="F49" s="9">
        <f t="shared" si="0"/>
        <v>0</v>
      </c>
      <c r="G49" s="11">
        <f t="shared" si="1"/>
        <v>78</v>
      </c>
      <c r="H49" s="12">
        <v>661.22</v>
      </c>
      <c r="I49" s="13">
        <f t="shared" si="2"/>
        <v>51575.16</v>
      </c>
      <c r="J49" s="14">
        <v>710</v>
      </c>
      <c r="K49" s="13">
        <f t="shared" si="3"/>
        <v>55380</v>
      </c>
      <c r="L49" s="11">
        <f>G49-'16'!D50</f>
        <v>15</v>
      </c>
      <c r="M49" s="13">
        <f t="shared" si="4"/>
        <v>10650</v>
      </c>
    </row>
    <row r="50" spans="1:13">
      <c r="A50" s="7" t="s">
        <v>43</v>
      </c>
      <c r="B50" s="7" t="s">
        <v>18</v>
      </c>
      <c r="C50" s="9">
        <v>50</v>
      </c>
      <c r="D50" s="10">
        <v>44</v>
      </c>
      <c r="E50" s="10"/>
      <c r="F50" s="9">
        <f t="shared" si="0"/>
        <v>0</v>
      </c>
      <c r="G50" s="11">
        <f t="shared" si="1"/>
        <v>44</v>
      </c>
      <c r="H50" s="12">
        <v>661.22</v>
      </c>
      <c r="I50" s="13">
        <f t="shared" si="2"/>
        <v>29093.68</v>
      </c>
      <c r="J50" s="14">
        <v>710</v>
      </c>
      <c r="K50" s="13">
        <f t="shared" si="3"/>
        <v>31240</v>
      </c>
      <c r="L50" s="11">
        <f>G50-'16'!D51</f>
        <v>10</v>
      </c>
      <c r="M50" s="13">
        <f t="shared" si="4"/>
        <v>7100</v>
      </c>
    </row>
    <row r="51" spans="1:13">
      <c r="A51" s="7" t="s">
        <v>43</v>
      </c>
      <c r="B51" s="7" t="s">
        <v>19</v>
      </c>
      <c r="C51" s="9">
        <v>50</v>
      </c>
      <c r="D51" s="10"/>
      <c r="E51" s="10"/>
      <c r="F51" s="9">
        <f t="shared" si="0"/>
        <v>0</v>
      </c>
      <c r="G51" s="11">
        <f t="shared" si="1"/>
        <v>0</v>
      </c>
      <c r="H51" s="12">
        <v>661.22</v>
      </c>
      <c r="I51" s="13">
        <f t="shared" si="2"/>
        <v>0</v>
      </c>
      <c r="J51" s="14">
        <v>710</v>
      </c>
      <c r="K51" s="13">
        <f t="shared" si="3"/>
        <v>0</v>
      </c>
      <c r="L51" s="11">
        <f>G51-'16'!D52</f>
        <v>0</v>
      </c>
      <c r="M51" s="13">
        <f t="shared" si="4"/>
        <v>0</v>
      </c>
    </row>
    <row r="52" spans="1:13">
      <c r="A52" s="7" t="s">
        <v>43</v>
      </c>
      <c r="B52" s="7" t="s">
        <v>20</v>
      </c>
      <c r="C52" s="9">
        <v>50</v>
      </c>
      <c r="D52" s="10"/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f>G52-'16'!D53</f>
        <v>0</v>
      </c>
      <c r="M52" s="13">
        <f t="shared" si="4"/>
        <v>0</v>
      </c>
    </row>
    <row r="53" spans="1:13">
      <c r="A53" s="7" t="s">
        <v>43</v>
      </c>
      <c r="B53" s="7" t="s">
        <v>21</v>
      </c>
      <c r="C53" s="9">
        <v>50</v>
      </c>
      <c r="D53" s="10"/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f>G53-'16'!D54</f>
        <v>0</v>
      </c>
      <c r="M53" s="13">
        <f t="shared" si="4"/>
        <v>0</v>
      </c>
    </row>
    <row r="54" spans="1:13">
      <c r="A54" s="7" t="s">
        <v>43</v>
      </c>
      <c r="B54" s="7" t="s">
        <v>44</v>
      </c>
      <c r="C54" s="9">
        <v>85</v>
      </c>
      <c r="D54" s="10">
        <v>3</v>
      </c>
      <c r="E54" s="10"/>
      <c r="F54" s="9">
        <f t="shared" si="0"/>
        <v>0</v>
      </c>
      <c r="G54" s="11">
        <f t="shared" si="1"/>
        <v>3</v>
      </c>
      <c r="H54" s="12">
        <v>797.07</v>
      </c>
      <c r="I54" s="13">
        <f t="shared" si="2"/>
        <v>2391.21</v>
      </c>
      <c r="J54" s="14">
        <v>845</v>
      </c>
      <c r="K54" s="13">
        <f t="shared" si="3"/>
        <v>2535</v>
      </c>
      <c r="L54" s="11">
        <f>G54-'16'!D55</f>
        <v>0</v>
      </c>
      <c r="M54" s="13">
        <f t="shared" si="4"/>
        <v>0</v>
      </c>
    </row>
    <row r="55" spans="1:13">
      <c r="A55" s="7" t="s">
        <v>45</v>
      </c>
      <c r="B55" s="7" t="s">
        <v>35</v>
      </c>
      <c r="C55" s="9">
        <v>18</v>
      </c>
      <c r="D55" s="10">
        <v>900</v>
      </c>
      <c r="E55" s="10"/>
      <c r="F55" s="9">
        <f t="shared" si="0"/>
        <v>0</v>
      </c>
      <c r="G55" s="11">
        <f t="shared" si="1"/>
        <v>900</v>
      </c>
      <c r="H55" s="12">
        <v>160.77000000000001</v>
      </c>
      <c r="I55" s="13">
        <f t="shared" si="2"/>
        <v>144693</v>
      </c>
      <c r="J55" s="14">
        <v>175</v>
      </c>
      <c r="K55" s="13">
        <f t="shared" si="3"/>
        <v>157500</v>
      </c>
      <c r="L55" s="11">
        <f>G55-'16'!D56</f>
        <v>72</v>
      </c>
      <c r="M55" s="13">
        <f t="shared" si="4"/>
        <v>12600</v>
      </c>
    </row>
    <row r="56" spans="1:13">
      <c r="A56" s="7" t="s">
        <v>46</v>
      </c>
      <c r="B56" s="7" t="s">
        <v>13</v>
      </c>
      <c r="C56" s="9">
        <v>70</v>
      </c>
      <c r="D56" s="10">
        <v>16</v>
      </c>
      <c r="E56" s="10"/>
      <c r="F56" s="9">
        <f t="shared" si="0"/>
        <v>0</v>
      </c>
      <c r="G56" s="11">
        <f t="shared" si="1"/>
        <v>16</v>
      </c>
      <c r="H56" s="12">
        <v>744.99</v>
      </c>
      <c r="I56" s="13">
        <f t="shared" si="2"/>
        <v>11919.84</v>
      </c>
      <c r="J56" s="14">
        <v>790</v>
      </c>
      <c r="K56" s="13">
        <f t="shared" si="3"/>
        <v>12640</v>
      </c>
      <c r="L56" s="11">
        <f>G56-'16'!D57</f>
        <v>3</v>
      </c>
      <c r="M56" s="13">
        <f t="shared" si="4"/>
        <v>2370</v>
      </c>
    </row>
    <row r="57" spans="1:13">
      <c r="A57" s="7" t="s">
        <v>47</v>
      </c>
      <c r="B57" s="7" t="s">
        <v>29</v>
      </c>
      <c r="C57" s="9">
        <v>30</v>
      </c>
      <c r="D57" s="10"/>
      <c r="E57" s="10"/>
      <c r="F57" s="9">
        <f t="shared" si="0"/>
        <v>0</v>
      </c>
      <c r="G57" s="11">
        <f t="shared" si="1"/>
        <v>0</v>
      </c>
      <c r="H57" s="12">
        <v>316.14999999999998</v>
      </c>
      <c r="I57" s="13">
        <f t="shared" si="2"/>
        <v>0</v>
      </c>
      <c r="J57" s="14">
        <v>336</v>
      </c>
      <c r="K57" s="13">
        <f t="shared" si="3"/>
        <v>0</v>
      </c>
      <c r="L57" s="11">
        <f>G57-'16'!D58</f>
        <v>0</v>
      </c>
      <c r="M57" s="13">
        <f t="shared" si="4"/>
        <v>0</v>
      </c>
    </row>
    <row r="58" spans="1:13">
      <c r="A58" s="7" t="s">
        <v>48</v>
      </c>
      <c r="B58" s="7" t="s">
        <v>13</v>
      </c>
      <c r="C58" s="9">
        <v>95</v>
      </c>
      <c r="D58" s="10">
        <v>17</v>
      </c>
      <c r="E58" s="10"/>
      <c r="F58" s="9">
        <f t="shared" si="0"/>
        <v>0</v>
      </c>
      <c r="G58" s="11">
        <f t="shared" si="1"/>
        <v>17</v>
      </c>
      <c r="H58" s="12">
        <v>1042.9000000000001</v>
      </c>
      <c r="I58" s="13">
        <f t="shared" si="2"/>
        <v>17729.300000000003</v>
      </c>
      <c r="J58" s="14">
        <v>1105</v>
      </c>
      <c r="K58" s="13">
        <f t="shared" si="3"/>
        <v>18785</v>
      </c>
      <c r="L58" s="11">
        <f>G58-'16'!D59</f>
        <v>2</v>
      </c>
      <c r="M58" s="13">
        <f t="shared" si="4"/>
        <v>2210</v>
      </c>
    </row>
    <row r="59" spans="1:13">
      <c r="A59" s="7" t="s">
        <v>49</v>
      </c>
      <c r="B59" s="7" t="s">
        <v>35</v>
      </c>
      <c r="C59" s="9">
        <v>28</v>
      </c>
      <c r="D59" s="10"/>
      <c r="E59" s="10"/>
      <c r="F59" s="9">
        <f t="shared" si="0"/>
        <v>0</v>
      </c>
      <c r="G59" s="11">
        <f t="shared" si="1"/>
        <v>0</v>
      </c>
      <c r="H59" s="12">
        <v>165.06</v>
      </c>
      <c r="I59" s="13">
        <f t="shared" si="2"/>
        <v>0</v>
      </c>
      <c r="J59" s="14">
        <v>180</v>
      </c>
      <c r="K59" s="13">
        <f t="shared" si="3"/>
        <v>0</v>
      </c>
      <c r="L59" s="11">
        <f>G59-'16'!D60</f>
        <v>0</v>
      </c>
      <c r="M59" s="13">
        <f t="shared" si="4"/>
        <v>0</v>
      </c>
    </row>
    <row r="60" spans="1:13">
      <c r="A60" s="7" t="s">
        <v>50</v>
      </c>
      <c r="B60" s="7" t="s">
        <v>17</v>
      </c>
      <c r="C60" s="9">
        <v>70</v>
      </c>
      <c r="D60" s="10"/>
      <c r="E60" s="10"/>
      <c r="F60" s="9">
        <f t="shared" si="0"/>
        <v>0</v>
      </c>
      <c r="G60" s="11">
        <f t="shared" si="1"/>
        <v>0</v>
      </c>
      <c r="H60" s="12">
        <v>721.25</v>
      </c>
      <c r="I60" s="13">
        <f t="shared" si="2"/>
        <v>0</v>
      </c>
      <c r="J60" s="14">
        <v>771</v>
      </c>
      <c r="K60" s="13">
        <f t="shared" si="3"/>
        <v>0</v>
      </c>
      <c r="L60" s="11">
        <f>G60-'16'!D61</f>
        <v>0</v>
      </c>
      <c r="M60" s="13">
        <f t="shared" si="4"/>
        <v>0</v>
      </c>
    </row>
    <row r="61" spans="1:13">
      <c r="A61" s="7" t="s">
        <v>50</v>
      </c>
      <c r="B61" s="7" t="s">
        <v>18</v>
      </c>
      <c r="C61" s="9">
        <v>70</v>
      </c>
      <c r="D61" s="10"/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f>G61-'16'!D62</f>
        <v>0</v>
      </c>
      <c r="M61" s="13">
        <f t="shared" si="4"/>
        <v>0</v>
      </c>
    </row>
    <row r="62" spans="1:13">
      <c r="A62" s="7" t="s">
        <v>51</v>
      </c>
      <c r="B62" s="7" t="s">
        <v>17</v>
      </c>
      <c r="C62" s="9">
        <v>100</v>
      </c>
      <c r="D62" s="10">
        <v>84</v>
      </c>
      <c r="E62" s="10"/>
      <c r="F62" s="9">
        <f t="shared" si="0"/>
        <v>0</v>
      </c>
      <c r="G62" s="11">
        <f t="shared" si="1"/>
        <v>84</v>
      </c>
      <c r="H62" s="12">
        <v>790.89</v>
      </c>
      <c r="I62" s="13">
        <f t="shared" si="2"/>
        <v>66434.759999999995</v>
      </c>
      <c r="J62" s="14">
        <v>845</v>
      </c>
      <c r="K62" s="13">
        <f t="shared" si="3"/>
        <v>70980</v>
      </c>
      <c r="L62" s="11">
        <f>G62-'16'!D63</f>
        <v>84</v>
      </c>
      <c r="M62" s="13">
        <f t="shared" si="4"/>
        <v>70980</v>
      </c>
    </row>
    <row r="63" spans="1:13">
      <c r="A63" s="7" t="s">
        <v>51</v>
      </c>
      <c r="B63" s="7" t="s">
        <v>18</v>
      </c>
      <c r="C63" s="9">
        <v>100</v>
      </c>
      <c r="D63" s="10">
        <v>55</v>
      </c>
      <c r="E63" s="10"/>
      <c r="F63" s="9">
        <f t="shared" si="0"/>
        <v>0</v>
      </c>
      <c r="G63" s="11">
        <f t="shared" si="1"/>
        <v>55</v>
      </c>
      <c r="H63" s="12">
        <v>790.89</v>
      </c>
      <c r="I63" s="13">
        <f t="shared" si="2"/>
        <v>43498.95</v>
      </c>
      <c r="J63" s="14">
        <v>845</v>
      </c>
      <c r="K63" s="13">
        <f t="shared" si="3"/>
        <v>46475</v>
      </c>
      <c r="L63" s="11">
        <f>G63-'16'!D64</f>
        <v>40</v>
      </c>
      <c r="M63" s="13">
        <f t="shared" si="4"/>
        <v>33800</v>
      </c>
    </row>
    <row r="64" spans="1:13">
      <c r="A64" s="7" t="s">
        <v>51</v>
      </c>
      <c r="B64" s="7" t="s">
        <v>19</v>
      </c>
      <c r="C64" s="9">
        <v>100</v>
      </c>
      <c r="D64" s="10"/>
      <c r="E64" s="10"/>
      <c r="F64" s="9">
        <f t="shared" si="0"/>
        <v>0</v>
      </c>
      <c r="G64" s="11">
        <f t="shared" si="1"/>
        <v>0</v>
      </c>
      <c r="H64" s="12">
        <v>790.89</v>
      </c>
      <c r="I64" s="13">
        <f t="shared" si="2"/>
        <v>0</v>
      </c>
      <c r="J64" s="14">
        <v>845</v>
      </c>
      <c r="K64" s="13">
        <f t="shared" si="3"/>
        <v>0</v>
      </c>
      <c r="L64" s="11">
        <f>G64-'16'!D65</f>
        <v>0</v>
      </c>
      <c r="M64" s="13">
        <f t="shared" si="4"/>
        <v>0</v>
      </c>
    </row>
    <row r="65" spans="1:13">
      <c r="A65" s="7" t="s">
        <v>51</v>
      </c>
      <c r="B65" s="7" t="s">
        <v>20</v>
      </c>
      <c r="C65" s="9">
        <v>100</v>
      </c>
      <c r="D65" s="10"/>
      <c r="E65" s="11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f>G65-'16'!D66</f>
        <v>0</v>
      </c>
      <c r="M65" s="13">
        <f t="shared" si="4"/>
        <v>0</v>
      </c>
    </row>
    <row r="66" spans="1:13">
      <c r="A66" s="7" t="s">
        <v>51</v>
      </c>
      <c r="B66" s="7" t="s">
        <v>21</v>
      </c>
      <c r="C66" s="9">
        <v>100</v>
      </c>
      <c r="D66" s="10"/>
      <c r="E66" s="11"/>
      <c r="F66" s="15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f>G66-'16'!D67</f>
        <v>0</v>
      </c>
      <c r="M66" s="13">
        <f t="shared" si="4"/>
        <v>0</v>
      </c>
    </row>
    <row r="67" spans="1:13">
      <c r="A67" s="35" t="s">
        <v>52</v>
      </c>
      <c r="B67" s="36"/>
      <c r="C67" s="37"/>
      <c r="D67" s="16">
        <f>SUM(D2:D66)</f>
        <v>3464</v>
      </c>
      <c r="E67" s="17">
        <f>SUM(E2:E66)</f>
        <v>0</v>
      </c>
      <c r="F67" s="18">
        <f>SUM(F2:F66)</f>
        <v>0</v>
      </c>
      <c r="G67" s="17">
        <f>SUM(G2:G66)</f>
        <v>3464</v>
      </c>
      <c r="H67" s="19"/>
      <c r="I67" s="20">
        <f>SUM(I2:I66)</f>
        <v>1450945.87</v>
      </c>
      <c r="J67" s="21">
        <f>SUM(J2:J66)</f>
        <v>39088</v>
      </c>
      <c r="K67" s="22">
        <f>SUM(K2:K66)</f>
        <v>1551617</v>
      </c>
      <c r="L67" s="23">
        <f>SUM(L2:L66)</f>
        <v>502</v>
      </c>
      <c r="M67" s="24">
        <f>SUM(M2:M66)</f>
        <v>298523</v>
      </c>
    </row>
    <row r="70" spans="1:13">
      <c r="F70" s="31"/>
    </row>
    <row r="73" spans="1:13">
      <c r="I73" s="33"/>
      <c r="J73" s="32"/>
      <c r="K73" s="33"/>
    </row>
    <row r="74" spans="1:13">
      <c r="I74" s="33"/>
      <c r="J74" s="32"/>
      <c r="K74" s="33"/>
    </row>
    <row r="75" spans="1:13">
      <c r="I75" s="33"/>
      <c r="J75" s="29"/>
      <c r="K75" s="30"/>
    </row>
    <row r="76" spans="1:13">
      <c r="D76" s="25" t="s">
        <v>53</v>
      </c>
      <c r="I76" s="33"/>
      <c r="J76" s="34"/>
      <c r="K76" s="34"/>
    </row>
    <row r="77" spans="1:13">
      <c r="I77" s="33"/>
      <c r="J77" s="32"/>
      <c r="K77" s="33"/>
    </row>
    <row r="78" spans="1:13">
      <c r="F78" s="26"/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</row>
  </sheetData>
  <mergeCells count="1">
    <mergeCell ref="A67:C6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81"/>
  <sheetViews>
    <sheetView topLeftCell="A45" workbookViewId="0">
      <selection activeCell="O65" sqref="O65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326</v>
      </c>
      <c r="E2" s="11"/>
      <c r="F2" s="9">
        <f>E2*H2</f>
        <v>0</v>
      </c>
      <c r="G2" s="11">
        <f>D2+E2</f>
        <v>326</v>
      </c>
      <c r="H2" s="12">
        <v>308.13</v>
      </c>
      <c r="I2" s="13">
        <f>H2*D2</f>
        <v>100450.38</v>
      </c>
      <c r="J2" s="14">
        <v>326</v>
      </c>
      <c r="K2" s="13">
        <f>J2*D2</f>
        <v>106276</v>
      </c>
      <c r="L2" s="11">
        <f>G2-'17'!D2</f>
        <v>0</v>
      </c>
      <c r="M2" s="13">
        <f>L2*J2</f>
        <v>0</v>
      </c>
    </row>
    <row r="3" spans="1:13">
      <c r="A3" s="7" t="s">
        <v>12</v>
      </c>
      <c r="B3" s="8" t="s">
        <v>14</v>
      </c>
      <c r="C3" s="9">
        <v>9</v>
      </c>
      <c r="D3" s="10">
        <v>82</v>
      </c>
      <c r="E3" s="11"/>
      <c r="F3" s="9">
        <f t="shared" ref="F3:F67" si="0">E3*H3</f>
        <v>0</v>
      </c>
      <c r="G3" s="11">
        <f t="shared" ref="G3:G67" si="1">D3+E3</f>
        <v>82</v>
      </c>
      <c r="H3" s="12">
        <v>308.19</v>
      </c>
      <c r="I3" s="13">
        <f t="shared" ref="I3:I67" si="2">H3*D3</f>
        <v>25271.579999999998</v>
      </c>
      <c r="J3" s="14">
        <v>326</v>
      </c>
      <c r="K3" s="13">
        <f t="shared" ref="K3:K67" si="3">J3*D3</f>
        <v>26732</v>
      </c>
      <c r="L3" s="11">
        <f>G3-'17'!D3</f>
        <v>0</v>
      </c>
      <c r="M3" s="13">
        <f t="shared" ref="M3:M67" si="4">L3*J3</f>
        <v>0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f>G4-'17'!D4</f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182</v>
      </c>
      <c r="E5" s="11"/>
      <c r="F5" s="9">
        <f t="shared" si="0"/>
        <v>0</v>
      </c>
      <c r="G5" s="11">
        <f t="shared" si="1"/>
        <v>182</v>
      </c>
      <c r="H5" s="12">
        <v>174.77</v>
      </c>
      <c r="I5" s="13">
        <f t="shared" si="2"/>
        <v>31808.140000000003</v>
      </c>
      <c r="J5" s="14">
        <v>192</v>
      </c>
      <c r="K5" s="13">
        <f t="shared" si="3"/>
        <v>34944</v>
      </c>
      <c r="L5" s="11">
        <f>G5-'17'!D5</f>
        <v>0</v>
      </c>
      <c r="M5" s="13">
        <f t="shared" si="4"/>
        <v>0</v>
      </c>
    </row>
    <row r="6" spans="1:13">
      <c r="A6" s="7" t="s">
        <v>16</v>
      </c>
      <c r="B6" s="8" t="s">
        <v>18</v>
      </c>
      <c r="C6" s="9">
        <v>10</v>
      </c>
      <c r="D6" s="10">
        <v>183</v>
      </c>
      <c r="E6" s="11"/>
      <c r="F6" s="9">
        <f t="shared" si="0"/>
        <v>0</v>
      </c>
      <c r="G6" s="11">
        <f t="shared" si="1"/>
        <v>183</v>
      </c>
      <c r="H6" s="12">
        <v>174.77</v>
      </c>
      <c r="I6" s="13">
        <f t="shared" si="2"/>
        <v>31982.910000000003</v>
      </c>
      <c r="J6" s="14">
        <v>192</v>
      </c>
      <c r="K6" s="13">
        <f t="shared" si="3"/>
        <v>35136</v>
      </c>
      <c r="L6" s="11">
        <f>G6-'17'!D6</f>
        <v>0</v>
      </c>
      <c r="M6" s="13">
        <f t="shared" si="4"/>
        <v>0</v>
      </c>
    </row>
    <row r="7" spans="1:13">
      <c r="A7" s="7" t="s">
        <v>16</v>
      </c>
      <c r="B7" s="8" t="s">
        <v>19</v>
      </c>
      <c r="C7" s="9">
        <v>10</v>
      </c>
      <c r="D7" s="10">
        <v>36</v>
      </c>
      <c r="E7" s="11"/>
      <c r="F7" s="9">
        <f t="shared" si="0"/>
        <v>0</v>
      </c>
      <c r="G7" s="11">
        <f t="shared" si="1"/>
        <v>36</v>
      </c>
      <c r="H7" s="12">
        <v>174.77</v>
      </c>
      <c r="I7" s="13">
        <f t="shared" si="2"/>
        <v>6291.72</v>
      </c>
      <c r="J7" s="14">
        <v>192</v>
      </c>
      <c r="K7" s="13">
        <f t="shared" si="3"/>
        <v>6912</v>
      </c>
      <c r="L7" s="11">
        <f>G7-'17'!D7</f>
        <v>0</v>
      </c>
      <c r="M7" s="13">
        <f t="shared" si="4"/>
        <v>0</v>
      </c>
    </row>
    <row r="8" spans="1:13">
      <c r="A8" s="7" t="s">
        <v>16</v>
      </c>
      <c r="B8" s="8" t="s">
        <v>20</v>
      </c>
      <c r="C8" s="9">
        <v>10</v>
      </c>
      <c r="D8" s="10">
        <v>25</v>
      </c>
      <c r="E8" s="11"/>
      <c r="F8" s="9">
        <f t="shared" si="0"/>
        <v>0</v>
      </c>
      <c r="G8" s="11">
        <f t="shared" si="1"/>
        <v>25</v>
      </c>
      <c r="H8" s="12">
        <v>174.77</v>
      </c>
      <c r="I8" s="13">
        <f t="shared" si="2"/>
        <v>4369.25</v>
      </c>
      <c r="J8" s="14">
        <v>192</v>
      </c>
      <c r="K8" s="13">
        <f t="shared" si="3"/>
        <v>4800</v>
      </c>
      <c r="L8" s="11">
        <f>G8-'17'!D8</f>
        <v>0</v>
      </c>
      <c r="M8" s="13">
        <f t="shared" si="4"/>
        <v>0</v>
      </c>
    </row>
    <row r="9" spans="1:13">
      <c r="A9" s="7" t="s">
        <v>16</v>
      </c>
      <c r="B9" s="8" t="s">
        <v>21</v>
      </c>
      <c r="C9" s="9">
        <v>10</v>
      </c>
      <c r="D9" s="10">
        <v>126</v>
      </c>
      <c r="E9" s="11"/>
      <c r="F9" s="9">
        <f t="shared" si="0"/>
        <v>0</v>
      </c>
      <c r="G9" s="11">
        <f t="shared" si="1"/>
        <v>126</v>
      </c>
      <c r="H9" s="12">
        <v>174.77</v>
      </c>
      <c r="I9" s="13">
        <f t="shared" si="2"/>
        <v>22021.02</v>
      </c>
      <c r="J9" s="14">
        <v>192</v>
      </c>
      <c r="K9" s="13">
        <f t="shared" si="3"/>
        <v>24192</v>
      </c>
      <c r="L9" s="11">
        <f>G9-'17'!D9</f>
        <v>0</v>
      </c>
      <c r="M9" s="13">
        <f t="shared" si="4"/>
        <v>0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f>G10-'17'!D10</f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18</v>
      </c>
      <c r="E11" s="11"/>
      <c r="F11" s="9">
        <f t="shared" si="0"/>
        <v>0</v>
      </c>
      <c r="G11" s="11">
        <f t="shared" si="1"/>
        <v>18</v>
      </c>
      <c r="H11" s="12">
        <v>470.8</v>
      </c>
      <c r="I11" s="13">
        <f t="shared" si="2"/>
        <v>8474.4</v>
      </c>
      <c r="J11" s="14">
        <v>505</v>
      </c>
      <c r="K11" s="13">
        <f t="shared" si="3"/>
        <v>9090</v>
      </c>
      <c r="L11" s="11">
        <f>G11-'17'!D11</f>
        <v>0</v>
      </c>
      <c r="M11" s="13">
        <f t="shared" si="4"/>
        <v>0</v>
      </c>
    </row>
    <row r="12" spans="1:13">
      <c r="A12" s="7" t="s">
        <v>22</v>
      </c>
      <c r="B12" s="8" t="s">
        <v>17</v>
      </c>
      <c r="C12" s="9">
        <v>20</v>
      </c>
      <c r="D12" s="10">
        <v>235</v>
      </c>
      <c r="E12" s="11">
        <v>321</v>
      </c>
      <c r="F12" s="9">
        <f>E12*H12</f>
        <v>152722.16999999998</v>
      </c>
      <c r="G12" s="11">
        <f t="shared" si="1"/>
        <v>556</v>
      </c>
      <c r="H12" s="12">
        <v>475.77</v>
      </c>
      <c r="I12" s="13">
        <f t="shared" si="2"/>
        <v>111805.95</v>
      </c>
      <c r="J12" s="14">
        <v>505</v>
      </c>
      <c r="K12" s="13">
        <f t="shared" si="3"/>
        <v>118675</v>
      </c>
      <c r="L12" s="11">
        <f>G12-'17'!D12</f>
        <v>0</v>
      </c>
      <c r="M12" s="13">
        <f t="shared" si="4"/>
        <v>0</v>
      </c>
    </row>
    <row r="13" spans="1:13">
      <c r="A13" s="7" t="s">
        <v>22</v>
      </c>
      <c r="B13" s="8" t="s">
        <v>18</v>
      </c>
      <c r="C13" s="9">
        <v>20</v>
      </c>
      <c r="D13" s="10">
        <v>148</v>
      </c>
      <c r="E13" s="11"/>
      <c r="F13" s="9">
        <f t="shared" si="0"/>
        <v>0</v>
      </c>
      <c r="G13" s="11">
        <f t="shared" si="1"/>
        <v>148</v>
      </c>
      <c r="H13" s="12">
        <v>475.77</v>
      </c>
      <c r="I13" s="13">
        <f t="shared" si="2"/>
        <v>70413.959999999992</v>
      </c>
      <c r="J13" s="14">
        <v>505</v>
      </c>
      <c r="K13" s="13">
        <f t="shared" si="3"/>
        <v>74740</v>
      </c>
      <c r="L13" s="11">
        <f>G13-'17'!D13</f>
        <v>0</v>
      </c>
      <c r="M13" s="13">
        <f t="shared" si="4"/>
        <v>0</v>
      </c>
    </row>
    <row r="14" spans="1:13">
      <c r="A14" s="7" t="s">
        <v>22</v>
      </c>
      <c r="B14" s="8" t="s">
        <v>19</v>
      </c>
      <c r="C14" s="9">
        <v>20</v>
      </c>
      <c r="D14" s="10">
        <v>39</v>
      </c>
      <c r="E14" s="11"/>
      <c r="F14" s="9">
        <f t="shared" si="0"/>
        <v>0</v>
      </c>
      <c r="G14" s="11">
        <f t="shared" si="1"/>
        <v>39</v>
      </c>
      <c r="H14" s="12">
        <v>470.8</v>
      </c>
      <c r="I14" s="13">
        <f t="shared" si="2"/>
        <v>18361.2</v>
      </c>
      <c r="J14" s="14">
        <v>505</v>
      </c>
      <c r="K14" s="13">
        <f t="shared" si="3"/>
        <v>19695</v>
      </c>
      <c r="L14" s="11">
        <f>G14-'17'!D14</f>
        <v>0</v>
      </c>
      <c r="M14" s="13">
        <f t="shared" si="4"/>
        <v>0</v>
      </c>
    </row>
    <row r="15" spans="1:13">
      <c r="A15" s="7" t="s">
        <v>22</v>
      </c>
      <c r="B15" s="8" t="s">
        <v>20</v>
      </c>
      <c r="C15" s="9">
        <v>20</v>
      </c>
      <c r="D15" s="10">
        <v>34</v>
      </c>
      <c r="E15" s="11"/>
      <c r="F15" s="9">
        <f t="shared" si="0"/>
        <v>0</v>
      </c>
      <c r="G15" s="11">
        <f t="shared" si="1"/>
        <v>34</v>
      </c>
      <c r="H15" s="12">
        <v>470.8</v>
      </c>
      <c r="I15" s="13">
        <f t="shared" si="2"/>
        <v>16007.2</v>
      </c>
      <c r="J15" s="14">
        <v>505</v>
      </c>
      <c r="K15" s="13">
        <f t="shared" si="3"/>
        <v>17170</v>
      </c>
      <c r="L15" s="11">
        <f>G15-'17'!D15</f>
        <v>0</v>
      </c>
      <c r="M15" s="13">
        <f t="shared" si="4"/>
        <v>0</v>
      </c>
    </row>
    <row r="16" spans="1:13">
      <c r="A16" s="7" t="s">
        <v>22</v>
      </c>
      <c r="B16" s="8" t="s">
        <v>21</v>
      </c>
      <c r="C16" s="9">
        <v>20</v>
      </c>
      <c r="D16" s="10"/>
      <c r="E16" s="11"/>
      <c r="F16" s="9">
        <f t="shared" si="0"/>
        <v>0</v>
      </c>
      <c r="G16" s="11">
        <f t="shared" si="1"/>
        <v>0</v>
      </c>
      <c r="H16" s="12">
        <v>470.8</v>
      </c>
      <c r="I16" s="13">
        <f t="shared" si="2"/>
        <v>0</v>
      </c>
      <c r="J16" s="14">
        <v>505</v>
      </c>
      <c r="K16" s="13">
        <f t="shared" si="3"/>
        <v>0</v>
      </c>
      <c r="L16" s="11">
        <f>G16-'17'!D16</f>
        <v>0</v>
      </c>
      <c r="M16" s="13">
        <f t="shared" si="4"/>
        <v>0</v>
      </c>
    </row>
    <row r="17" spans="1:13">
      <c r="A17" s="7" t="s">
        <v>22</v>
      </c>
      <c r="B17" s="8" t="s">
        <v>29</v>
      </c>
      <c r="C17" s="9">
        <v>11</v>
      </c>
      <c r="D17" s="10">
        <v>30</v>
      </c>
      <c r="E17" s="11"/>
      <c r="F17" s="9">
        <f t="shared" si="0"/>
        <v>0</v>
      </c>
      <c r="G17" s="11">
        <f t="shared" si="1"/>
        <v>30</v>
      </c>
      <c r="H17" s="12">
        <v>235.59</v>
      </c>
      <c r="I17" s="13">
        <f t="shared" si="2"/>
        <v>7067.7</v>
      </c>
      <c r="J17" s="14">
        <v>250</v>
      </c>
      <c r="K17" s="13">
        <f t="shared" si="3"/>
        <v>7500</v>
      </c>
      <c r="L17" s="11">
        <f>G17-'17'!D17</f>
        <v>0</v>
      </c>
      <c r="M17" s="13">
        <f t="shared" si="4"/>
        <v>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f>G18-'17'!D18</f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/>
      <c r="E19" s="11">
        <v>65</v>
      </c>
      <c r="F19" s="9">
        <f t="shared" si="0"/>
        <v>13260</v>
      </c>
      <c r="G19" s="11">
        <f t="shared" si="1"/>
        <v>65</v>
      </c>
      <c r="H19" s="12">
        <v>204</v>
      </c>
      <c r="I19" s="13">
        <f t="shared" si="2"/>
        <v>0</v>
      </c>
      <c r="J19" s="14">
        <v>230</v>
      </c>
      <c r="K19" s="13">
        <f t="shared" si="3"/>
        <v>0</v>
      </c>
      <c r="L19" s="11">
        <f>G19-'17'!D19</f>
        <v>0</v>
      </c>
      <c r="M19" s="13">
        <f t="shared" si="4"/>
        <v>0</v>
      </c>
    </row>
    <row r="20" spans="1:13">
      <c r="A20" s="7" t="s">
        <v>22</v>
      </c>
      <c r="B20" s="8" t="s">
        <v>25</v>
      </c>
      <c r="C20" s="9">
        <v>10</v>
      </c>
      <c r="D20" s="10"/>
      <c r="E20" s="11">
        <v>65</v>
      </c>
      <c r="F20" s="9">
        <f t="shared" si="0"/>
        <v>13260</v>
      </c>
      <c r="G20" s="11">
        <f t="shared" si="1"/>
        <v>65</v>
      </c>
      <c r="H20" s="12">
        <v>204</v>
      </c>
      <c r="I20" s="13">
        <f>H20*D20</f>
        <v>0</v>
      </c>
      <c r="J20" s="14">
        <v>230</v>
      </c>
      <c r="K20" s="13">
        <f t="shared" si="3"/>
        <v>0</v>
      </c>
      <c r="L20" s="11">
        <f>G20-'17'!D20</f>
        <v>0</v>
      </c>
      <c r="M20" s="13">
        <f t="shared" si="4"/>
        <v>0</v>
      </c>
    </row>
    <row r="21" spans="1:13">
      <c r="A21" s="7" t="s">
        <v>22</v>
      </c>
      <c r="B21" s="8" t="s">
        <v>26</v>
      </c>
      <c r="C21" s="9">
        <v>10</v>
      </c>
      <c r="D21" s="10">
        <v>14</v>
      </c>
      <c r="E21" s="11"/>
      <c r="F21" s="9">
        <f t="shared" si="0"/>
        <v>0</v>
      </c>
      <c r="G21" s="11">
        <f t="shared" si="1"/>
        <v>14</v>
      </c>
      <c r="H21" s="12">
        <v>204</v>
      </c>
      <c r="I21" s="13">
        <f t="shared" si="2"/>
        <v>2856</v>
      </c>
      <c r="J21" s="14">
        <v>230</v>
      </c>
      <c r="K21" s="13">
        <f t="shared" si="3"/>
        <v>3220</v>
      </c>
      <c r="L21" s="11">
        <f>G21-'17'!D21</f>
        <v>0</v>
      </c>
      <c r="M21" s="13">
        <f t="shared" si="4"/>
        <v>0</v>
      </c>
    </row>
    <row r="22" spans="1:13">
      <c r="A22" s="7" t="s">
        <v>22</v>
      </c>
      <c r="B22" s="8" t="s">
        <v>13</v>
      </c>
      <c r="C22" s="9">
        <v>19</v>
      </c>
      <c r="D22" s="10"/>
      <c r="E22" s="11">
        <v>24</v>
      </c>
      <c r="F22" s="9">
        <f t="shared" si="0"/>
        <v>11387.039999999999</v>
      </c>
      <c r="G22" s="11">
        <f t="shared" si="1"/>
        <v>24</v>
      </c>
      <c r="H22" s="12">
        <v>474.46</v>
      </c>
      <c r="I22" s="13">
        <f t="shared" si="2"/>
        <v>0</v>
      </c>
      <c r="J22" s="14">
        <v>505</v>
      </c>
      <c r="K22" s="13">
        <f t="shared" si="3"/>
        <v>0</v>
      </c>
      <c r="L22" s="11">
        <f>G22-'17'!D22</f>
        <v>0</v>
      </c>
      <c r="M22" s="13">
        <f t="shared" si="4"/>
        <v>0</v>
      </c>
    </row>
    <row r="23" spans="1:13">
      <c r="A23" s="7" t="s">
        <v>22</v>
      </c>
      <c r="B23" s="8" t="s">
        <v>27</v>
      </c>
      <c r="C23" s="9">
        <v>24</v>
      </c>
      <c r="D23" s="10">
        <v>44</v>
      </c>
      <c r="E23" s="11"/>
      <c r="F23" s="9">
        <f t="shared" si="0"/>
        <v>0</v>
      </c>
      <c r="G23" s="11">
        <f t="shared" si="1"/>
        <v>44</v>
      </c>
      <c r="H23" s="12">
        <v>593.91999999999996</v>
      </c>
      <c r="I23" s="13">
        <f t="shared" si="2"/>
        <v>26132.48</v>
      </c>
      <c r="J23" s="14">
        <v>630</v>
      </c>
      <c r="K23" s="13">
        <f t="shared" si="3"/>
        <v>27720</v>
      </c>
      <c r="L23" s="11">
        <f>G23-'17'!D23</f>
        <v>0</v>
      </c>
      <c r="M23" s="13">
        <f t="shared" si="4"/>
        <v>0</v>
      </c>
    </row>
    <row r="24" spans="1:13">
      <c r="A24" s="7" t="s">
        <v>30</v>
      </c>
      <c r="B24" s="8" t="s">
        <v>17</v>
      </c>
      <c r="C24" s="9">
        <v>25</v>
      </c>
      <c r="D24" s="10">
        <v>54</v>
      </c>
      <c r="E24" s="10"/>
      <c r="F24" s="9">
        <f t="shared" si="0"/>
        <v>0</v>
      </c>
      <c r="G24" s="11">
        <f t="shared" si="1"/>
        <v>54</v>
      </c>
      <c r="H24" s="12">
        <v>453.3</v>
      </c>
      <c r="I24" s="13">
        <f t="shared" si="2"/>
        <v>24478.2</v>
      </c>
      <c r="J24" s="14">
        <v>493</v>
      </c>
      <c r="K24" s="13">
        <f t="shared" si="3"/>
        <v>26622</v>
      </c>
      <c r="L24" s="11">
        <f>G24-'17'!D24</f>
        <v>0</v>
      </c>
      <c r="M24" s="13">
        <f t="shared" si="4"/>
        <v>0</v>
      </c>
    </row>
    <row r="25" spans="1:13">
      <c r="A25" s="7" t="s">
        <v>30</v>
      </c>
      <c r="B25" s="8" t="s">
        <v>18</v>
      </c>
      <c r="C25" s="9">
        <v>25</v>
      </c>
      <c r="D25" s="10"/>
      <c r="E25" s="10"/>
      <c r="F25" s="9">
        <f t="shared" si="0"/>
        <v>0</v>
      </c>
      <c r="G25" s="11">
        <f t="shared" si="1"/>
        <v>0</v>
      </c>
      <c r="H25" s="12">
        <v>453.3</v>
      </c>
      <c r="I25" s="13">
        <f t="shared" si="2"/>
        <v>0</v>
      </c>
      <c r="J25" s="14">
        <v>493</v>
      </c>
      <c r="K25" s="13">
        <f t="shared" si="3"/>
        <v>0</v>
      </c>
      <c r="L25" s="11">
        <f>G25-'17'!D25</f>
        <v>0</v>
      </c>
      <c r="M25" s="13">
        <f t="shared" si="4"/>
        <v>0</v>
      </c>
    </row>
    <row r="26" spans="1:13">
      <c r="A26" s="7" t="s">
        <v>55</v>
      </c>
      <c r="B26" s="7" t="s">
        <v>17</v>
      </c>
      <c r="C26" s="9">
        <v>70</v>
      </c>
      <c r="D26" s="10"/>
      <c r="E26" s="10">
        <v>26</v>
      </c>
      <c r="F26" s="9">
        <f t="shared" si="0"/>
        <v>24935.040000000001</v>
      </c>
      <c r="G26" s="11">
        <f t="shared" si="1"/>
        <v>26</v>
      </c>
      <c r="H26" s="12">
        <v>959.04</v>
      </c>
      <c r="I26" s="13">
        <f t="shared" si="2"/>
        <v>0</v>
      </c>
      <c r="J26" s="14">
        <v>1010</v>
      </c>
      <c r="K26" s="13">
        <f t="shared" si="3"/>
        <v>0</v>
      </c>
      <c r="L26" s="11">
        <f>G26-'17'!D26</f>
        <v>0</v>
      </c>
      <c r="M26" s="13">
        <f t="shared" si="4"/>
        <v>0</v>
      </c>
    </row>
    <row r="27" spans="1:13">
      <c r="A27" s="7" t="s">
        <v>55</v>
      </c>
      <c r="B27" s="8" t="s">
        <v>18</v>
      </c>
      <c r="C27" s="9">
        <v>70</v>
      </c>
      <c r="D27" s="10"/>
      <c r="E27" s="10"/>
      <c r="F27" s="9">
        <f t="shared" si="0"/>
        <v>0</v>
      </c>
      <c r="G27" s="11">
        <f t="shared" si="1"/>
        <v>0</v>
      </c>
      <c r="H27" s="12">
        <v>959.04</v>
      </c>
      <c r="I27" s="13">
        <f t="shared" si="2"/>
        <v>0</v>
      </c>
      <c r="J27" s="14">
        <v>1010</v>
      </c>
      <c r="K27" s="13">
        <f t="shared" si="3"/>
        <v>0</v>
      </c>
      <c r="L27" s="11">
        <f>G27-'17'!D27</f>
        <v>0</v>
      </c>
      <c r="M27" s="13">
        <f t="shared" si="4"/>
        <v>0</v>
      </c>
    </row>
    <row r="28" spans="1:13">
      <c r="A28" s="7" t="s">
        <v>55</v>
      </c>
      <c r="B28" s="8" t="s">
        <v>21</v>
      </c>
      <c r="C28" s="9">
        <v>70</v>
      </c>
      <c r="D28" s="10"/>
      <c r="E28" s="10">
        <v>26</v>
      </c>
      <c r="F28" s="9">
        <f t="shared" si="0"/>
        <v>24935.040000000001</v>
      </c>
      <c r="G28" s="11">
        <f t="shared" si="1"/>
        <v>26</v>
      </c>
      <c r="H28" s="12">
        <v>959.04</v>
      </c>
      <c r="I28" s="13">
        <f t="shared" si="2"/>
        <v>0</v>
      </c>
      <c r="J28" s="14">
        <v>1010</v>
      </c>
      <c r="K28" s="13">
        <f t="shared" si="3"/>
        <v>0</v>
      </c>
      <c r="L28" s="11">
        <f>G28-'17'!D28</f>
        <v>0</v>
      </c>
      <c r="M28" s="13">
        <f t="shared" si="4"/>
        <v>0</v>
      </c>
    </row>
    <row r="29" spans="1:13">
      <c r="A29" s="7" t="s">
        <v>31</v>
      </c>
      <c r="B29" s="7" t="s">
        <v>17</v>
      </c>
      <c r="C29" s="9">
        <v>40</v>
      </c>
      <c r="D29" s="10"/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f>G29-'17'!D29</f>
        <v>0</v>
      </c>
      <c r="M29" s="13">
        <f t="shared" si="4"/>
        <v>0</v>
      </c>
    </row>
    <row r="30" spans="1:13">
      <c r="A30" s="7" t="s">
        <v>31</v>
      </c>
      <c r="B30" s="7" t="s">
        <v>18</v>
      </c>
      <c r="C30" s="9">
        <v>40</v>
      </c>
      <c r="D30" s="10"/>
      <c r="E30" s="10"/>
      <c r="F30" s="9">
        <f t="shared" si="0"/>
        <v>0</v>
      </c>
      <c r="G30" s="11">
        <f t="shared" si="1"/>
        <v>0</v>
      </c>
      <c r="H30" s="12">
        <v>821.36</v>
      </c>
      <c r="I30" s="13">
        <f t="shared" si="2"/>
        <v>0</v>
      </c>
      <c r="J30" s="14">
        <v>878</v>
      </c>
      <c r="K30" s="13">
        <f t="shared" si="3"/>
        <v>0</v>
      </c>
      <c r="L30" s="11">
        <f>G30-'17'!D30</f>
        <v>0</v>
      </c>
      <c r="M30" s="13">
        <f t="shared" si="4"/>
        <v>0</v>
      </c>
    </row>
    <row r="31" spans="1:13">
      <c r="A31" s="7" t="s">
        <v>31</v>
      </c>
      <c r="B31" s="7" t="s">
        <v>19</v>
      </c>
      <c r="C31" s="9">
        <v>40</v>
      </c>
      <c r="D31" s="10"/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f>G31-'17'!D31</f>
        <v>0</v>
      </c>
      <c r="M31" s="13">
        <f t="shared" si="4"/>
        <v>0</v>
      </c>
    </row>
    <row r="32" spans="1:13">
      <c r="A32" s="7" t="s">
        <v>31</v>
      </c>
      <c r="B32" s="7" t="s">
        <v>20</v>
      </c>
      <c r="C32" s="9">
        <v>40</v>
      </c>
      <c r="D32" s="10"/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f>G32-'17'!D32</f>
        <v>0</v>
      </c>
      <c r="M32" s="13">
        <f t="shared" si="4"/>
        <v>0</v>
      </c>
    </row>
    <row r="33" spans="1:13">
      <c r="A33" s="7" t="s">
        <v>31</v>
      </c>
      <c r="B33" s="7" t="s">
        <v>21</v>
      </c>
      <c r="C33" s="9">
        <v>40</v>
      </c>
      <c r="D33" s="10"/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f>G33-'17'!D33</f>
        <v>0</v>
      </c>
      <c r="M33" s="13">
        <f t="shared" si="4"/>
        <v>0</v>
      </c>
    </row>
    <row r="34" spans="1:13">
      <c r="A34" s="7" t="s">
        <v>31</v>
      </c>
      <c r="B34" s="7" t="s">
        <v>32</v>
      </c>
      <c r="C34" s="9">
        <v>40</v>
      </c>
      <c r="D34" s="10"/>
      <c r="E34" s="10"/>
      <c r="F34" s="9">
        <f t="shared" si="0"/>
        <v>0</v>
      </c>
      <c r="G34" s="11">
        <f t="shared" si="1"/>
        <v>0</v>
      </c>
      <c r="H34" s="12">
        <v>817.58</v>
      </c>
      <c r="I34" s="13">
        <f t="shared" si="2"/>
        <v>0</v>
      </c>
      <c r="J34" s="14">
        <v>878</v>
      </c>
      <c r="K34" s="13">
        <f t="shared" si="3"/>
        <v>0</v>
      </c>
      <c r="L34" s="11">
        <f>G34-'17'!D34</f>
        <v>0</v>
      </c>
      <c r="M34" s="13">
        <f t="shared" si="4"/>
        <v>0</v>
      </c>
    </row>
    <row r="35" spans="1:13">
      <c r="A35" s="7" t="s">
        <v>31</v>
      </c>
      <c r="B35" s="7" t="s">
        <v>33</v>
      </c>
      <c r="C35" s="9">
        <v>60</v>
      </c>
      <c r="D35" s="10">
        <v>250</v>
      </c>
      <c r="E35" s="10"/>
      <c r="F35" s="9">
        <f t="shared" si="0"/>
        <v>0</v>
      </c>
      <c r="G35" s="11">
        <f t="shared" si="1"/>
        <v>250</v>
      </c>
      <c r="H35" s="12">
        <v>1042.6500000000001</v>
      </c>
      <c r="I35" s="13">
        <f t="shared" si="2"/>
        <v>260662.50000000003</v>
      </c>
      <c r="J35" s="14">
        <v>1110</v>
      </c>
      <c r="K35" s="13">
        <f t="shared" si="3"/>
        <v>277500</v>
      </c>
      <c r="L35" s="11">
        <f>G35-'17'!D35</f>
        <v>0</v>
      </c>
      <c r="M35" s="13">
        <f t="shared" si="4"/>
        <v>0</v>
      </c>
    </row>
    <row r="36" spans="1:13">
      <c r="A36" s="7" t="s">
        <v>34</v>
      </c>
      <c r="B36" s="7" t="s">
        <v>35</v>
      </c>
      <c r="C36" s="9">
        <v>7</v>
      </c>
      <c r="D36" s="10"/>
      <c r="E36" s="10">
        <v>36</v>
      </c>
      <c r="F36" s="9">
        <f t="shared" si="0"/>
        <v>4544.6399999999994</v>
      </c>
      <c r="G36" s="11">
        <f t="shared" si="1"/>
        <v>36</v>
      </c>
      <c r="H36" s="12">
        <v>126.24</v>
      </c>
      <c r="I36" s="13">
        <f t="shared" si="2"/>
        <v>0</v>
      </c>
      <c r="J36" s="14">
        <v>140</v>
      </c>
      <c r="K36" s="13">
        <f t="shared" si="3"/>
        <v>0</v>
      </c>
      <c r="L36" s="11">
        <f>G36-'17'!D36</f>
        <v>0</v>
      </c>
      <c r="M36" s="13">
        <f t="shared" si="4"/>
        <v>0</v>
      </c>
    </row>
    <row r="37" spans="1:13">
      <c r="A37" s="7" t="s">
        <v>36</v>
      </c>
      <c r="B37" s="7" t="s">
        <v>37</v>
      </c>
      <c r="C37" s="9">
        <v>125</v>
      </c>
      <c r="D37" s="10">
        <v>39</v>
      </c>
      <c r="E37" s="10"/>
      <c r="F37" s="9">
        <f t="shared" si="0"/>
        <v>0</v>
      </c>
      <c r="G37" s="11">
        <f t="shared" si="1"/>
        <v>39</v>
      </c>
      <c r="H37" s="12">
        <v>2050.54</v>
      </c>
      <c r="I37" s="13">
        <f t="shared" si="2"/>
        <v>79971.06</v>
      </c>
      <c r="J37" s="14">
        <v>2175</v>
      </c>
      <c r="K37" s="13">
        <f t="shared" si="3"/>
        <v>84825</v>
      </c>
      <c r="L37" s="11">
        <f>G37-'17'!D37</f>
        <v>0</v>
      </c>
      <c r="M37" s="13">
        <f t="shared" si="4"/>
        <v>0</v>
      </c>
    </row>
    <row r="38" spans="1:13">
      <c r="A38" s="7" t="s">
        <v>38</v>
      </c>
      <c r="B38" s="7" t="s">
        <v>17</v>
      </c>
      <c r="C38" s="9">
        <v>20</v>
      </c>
      <c r="D38" s="10">
        <v>1</v>
      </c>
      <c r="E38" s="10"/>
      <c r="F38" s="9">
        <f t="shared" si="0"/>
        <v>0</v>
      </c>
      <c r="G38" s="11">
        <f t="shared" si="1"/>
        <v>1</v>
      </c>
      <c r="H38" s="12">
        <v>399.19</v>
      </c>
      <c r="I38" s="13">
        <f t="shared" si="2"/>
        <v>399.19</v>
      </c>
      <c r="J38" s="14">
        <v>420</v>
      </c>
      <c r="K38" s="13">
        <f t="shared" si="3"/>
        <v>420</v>
      </c>
      <c r="L38" s="11">
        <f>G38-'17'!D38</f>
        <v>0</v>
      </c>
      <c r="M38" s="13">
        <f t="shared" si="4"/>
        <v>0</v>
      </c>
    </row>
    <row r="39" spans="1:13">
      <c r="A39" s="7" t="s">
        <v>38</v>
      </c>
      <c r="B39" s="7" t="s">
        <v>18</v>
      </c>
      <c r="C39" s="9">
        <v>20</v>
      </c>
      <c r="D39" s="10"/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f>G39-'17'!D39</f>
        <v>0</v>
      </c>
      <c r="M39" s="13">
        <f t="shared" si="4"/>
        <v>0</v>
      </c>
    </row>
    <row r="40" spans="1:13">
      <c r="A40" s="7" t="s">
        <v>38</v>
      </c>
      <c r="B40" s="7" t="s">
        <v>21</v>
      </c>
      <c r="C40" s="9">
        <v>20</v>
      </c>
      <c r="D40" s="10"/>
      <c r="E40" s="10"/>
      <c r="F40" s="9">
        <f t="shared" si="0"/>
        <v>0</v>
      </c>
      <c r="G40" s="11">
        <f t="shared" si="1"/>
        <v>0</v>
      </c>
      <c r="H40" s="12">
        <v>399.19</v>
      </c>
      <c r="I40" s="13">
        <f t="shared" si="2"/>
        <v>0</v>
      </c>
      <c r="J40" s="14">
        <v>420</v>
      </c>
      <c r="K40" s="13">
        <f t="shared" si="3"/>
        <v>0</v>
      </c>
      <c r="L40" s="11">
        <f>G40-'17'!D40</f>
        <v>0</v>
      </c>
      <c r="M40" s="13">
        <f t="shared" si="4"/>
        <v>0</v>
      </c>
    </row>
    <row r="41" spans="1:13">
      <c r="A41" s="7" t="s">
        <v>39</v>
      </c>
      <c r="B41" s="7" t="s">
        <v>35</v>
      </c>
      <c r="C41" s="9">
        <v>9</v>
      </c>
      <c r="D41" s="10">
        <v>25</v>
      </c>
      <c r="E41" s="10"/>
      <c r="F41" s="9">
        <f t="shared" si="0"/>
        <v>0</v>
      </c>
      <c r="G41" s="11">
        <f t="shared" si="1"/>
        <v>25</v>
      </c>
      <c r="H41" s="12">
        <v>174.19</v>
      </c>
      <c r="I41" s="13">
        <f t="shared" si="2"/>
        <v>4354.75</v>
      </c>
      <c r="J41" s="14">
        <v>185</v>
      </c>
      <c r="K41" s="13">
        <f t="shared" si="3"/>
        <v>4625</v>
      </c>
      <c r="L41" s="11">
        <f>G41-'17'!D41</f>
        <v>0</v>
      </c>
      <c r="M41" s="13">
        <f t="shared" si="4"/>
        <v>0</v>
      </c>
    </row>
    <row r="42" spans="1:13">
      <c r="A42" s="7" t="s">
        <v>40</v>
      </c>
      <c r="B42" s="7" t="s">
        <v>13</v>
      </c>
      <c r="C42" s="9">
        <v>35</v>
      </c>
      <c r="D42" s="10">
        <v>5</v>
      </c>
      <c r="E42" s="10"/>
      <c r="F42" s="9">
        <f t="shared" si="0"/>
        <v>0</v>
      </c>
      <c r="G42" s="11">
        <f t="shared" si="1"/>
        <v>5</v>
      </c>
      <c r="H42" s="12">
        <v>748.13</v>
      </c>
      <c r="I42" s="13">
        <f t="shared" si="2"/>
        <v>3740.65</v>
      </c>
      <c r="J42" s="14">
        <v>795</v>
      </c>
      <c r="K42" s="13">
        <f t="shared" si="3"/>
        <v>3975</v>
      </c>
      <c r="L42" s="11">
        <f>G42-'17'!D42</f>
        <v>0</v>
      </c>
      <c r="M42" s="13">
        <f t="shared" si="4"/>
        <v>0</v>
      </c>
    </row>
    <row r="43" spans="1:13">
      <c r="A43" s="7" t="s">
        <v>41</v>
      </c>
      <c r="B43" s="7" t="s">
        <v>17</v>
      </c>
      <c r="C43" s="9">
        <v>40</v>
      </c>
      <c r="D43" s="10">
        <v>52</v>
      </c>
      <c r="E43" s="10"/>
      <c r="F43" s="9">
        <f t="shared" si="0"/>
        <v>0</v>
      </c>
      <c r="G43" s="11">
        <f t="shared" si="1"/>
        <v>52</v>
      </c>
      <c r="H43" s="12">
        <v>842.86</v>
      </c>
      <c r="I43" s="13">
        <f t="shared" si="2"/>
        <v>43828.72</v>
      </c>
      <c r="J43" s="14">
        <v>900</v>
      </c>
      <c r="K43" s="13">
        <f t="shared" si="3"/>
        <v>46800</v>
      </c>
      <c r="L43" s="11">
        <f>G43-'17'!D43</f>
        <v>0</v>
      </c>
      <c r="M43" s="13">
        <f t="shared" si="4"/>
        <v>0</v>
      </c>
    </row>
    <row r="44" spans="1:13">
      <c r="A44" s="7" t="s">
        <v>41</v>
      </c>
      <c r="B44" s="7" t="s">
        <v>18</v>
      </c>
      <c r="C44" s="9">
        <v>40</v>
      </c>
      <c r="D44" s="10">
        <v>37</v>
      </c>
      <c r="E44" s="10"/>
      <c r="F44" s="9">
        <f t="shared" si="0"/>
        <v>0</v>
      </c>
      <c r="G44" s="11">
        <f t="shared" si="1"/>
        <v>37</v>
      </c>
      <c r="H44" s="12">
        <v>842.86</v>
      </c>
      <c r="I44" s="13">
        <f t="shared" si="2"/>
        <v>31185.82</v>
      </c>
      <c r="J44" s="14">
        <v>900</v>
      </c>
      <c r="K44" s="13">
        <f t="shared" si="3"/>
        <v>33300</v>
      </c>
      <c r="L44" s="11">
        <f>G44-'17'!D44</f>
        <v>0</v>
      </c>
      <c r="M44" s="13">
        <f t="shared" si="4"/>
        <v>0</v>
      </c>
    </row>
    <row r="45" spans="1:13">
      <c r="A45" s="7" t="s">
        <v>41</v>
      </c>
      <c r="B45" s="7" t="s">
        <v>19</v>
      </c>
      <c r="C45" s="9">
        <v>40</v>
      </c>
      <c r="D45" s="10"/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f>G45-'17'!D45</f>
        <v>0</v>
      </c>
      <c r="M45" s="13">
        <f t="shared" si="4"/>
        <v>0</v>
      </c>
    </row>
    <row r="46" spans="1:13">
      <c r="A46" s="7" t="s">
        <v>41</v>
      </c>
      <c r="B46" s="7" t="s">
        <v>20</v>
      </c>
      <c r="C46" s="9">
        <v>40</v>
      </c>
      <c r="D46" s="10"/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f>G46-'17'!D46</f>
        <v>0</v>
      </c>
      <c r="M46" s="13">
        <f t="shared" si="4"/>
        <v>0</v>
      </c>
    </row>
    <row r="47" spans="1:13">
      <c r="A47" s="7" t="s">
        <v>41</v>
      </c>
      <c r="B47" s="7" t="s">
        <v>21</v>
      </c>
      <c r="C47" s="9">
        <v>40</v>
      </c>
      <c r="D47" s="10"/>
      <c r="E47" s="10"/>
      <c r="F47" s="9">
        <f t="shared" si="0"/>
        <v>0</v>
      </c>
      <c r="G47" s="11">
        <f t="shared" si="1"/>
        <v>0</v>
      </c>
      <c r="H47" s="12">
        <v>839.68</v>
      </c>
      <c r="I47" s="13">
        <f t="shared" si="2"/>
        <v>0</v>
      </c>
      <c r="J47" s="14">
        <v>900</v>
      </c>
      <c r="K47" s="13">
        <f t="shared" si="3"/>
        <v>0</v>
      </c>
      <c r="L47" s="11">
        <f>G47-'17'!D47</f>
        <v>0</v>
      </c>
      <c r="M47" s="13">
        <f t="shared" si="4"/>
        <v>0</v>
      </c>
    </row>
    <row r="48" spans="1:13">
      <c r="A48" s="7" t="s">
        <v>42</v>
      </c>
      <c r="B48" s="7" t="s">
        <v>29</v>
      </c>
      <c r="C48" s="9">
        <v>18</v>
      </c>
      <c r="D48" s="10">
        <v>6</v>
      </c>
      <c r="E48" s="10"/>
      <c r="F48" s="9">
        <f t="shared" si="0"/>
        <v>0</v>
      </c>
      <c r="G48" s="11">
        <f t="shared" si="1"/>
        <v>6</v>
      </c>
      <c r="H48" s="12">
        <v>375.68</v>
      </c>
      <c r="I48" s="13">
        <f t="shared" si="2"/>
        <v>2254.08</v>
      </c>
      <c r="J48" s="14">
        <v>400</v>
      </c>
      <c r="K48" s="13">
        <f t="shared" si="3"/>
        <v>2400</v>
      </c>
      <c r="L48" s="11">
        <f>G48-'17'!D48</f>
        <v>0</v>
      </c>
      <c r="M48" s="13">
        <f t="shared" si="4"/>
        <v>0</v>
      </c>
    </row>
    <row r="49" spans="1:13">
      <c r="A49" s="7" t="s">
        <v>54</v>
      </c>
      <c r="B49" s="7" t="s">
        <v>44</v>
      </c>
      <c r="C49" s="9">
        <v>50</v>
      </c>
      <c r="D49" s="11"/>
      <c r="E49" s="11"/>
      <c r="F49" s="9">
        <f t="shared" si="0"/>
        <v>0</v>
      </c>
      <c r="G49" s="11">
        <f t="shared" si="1"/>
        <v>0</v>
      </c>
      <c r="H49" s="12">
        <v>670.32</v>
      </c>
      <c r="I49" s="13">
        <f t="shared" si="2"/>
        <v>0</v>
      </c>
      <c r="J49" s="14">
        <v>710</v>
      </c>
      <c r="K49" s="13">
        <f t="shared" si="3"/>
        <v>0</v>
      </c>
      <c r="L49" s="11">
        <f>G49-'17'!D49</f>
        <v>0</v>
      </c>
      <c r="M49" s="13">
        <f t="shared" si="4"/>
        <v>0</v>
      </c>
    </row>
    <row r="50" spans="1:13">
      <c r="A50" s="7" t="s">
        <v>43</v>
      </c>
      <c r="B50" s="7" t="s">
        <v>17</v>
      </c>
      <c r="C50" s="9">
        <v>50</v>
      </c>
      <c r="D50" s="10">
        <v>63</v>
      </c>
      <c r="E50" s="10"/>
      <c r="F50" s="9">
        <f t="shared" si="0"/>
        <v>0</v>
      </c>
      <c r="G50" s="11">
        <f t="shared" si="1"/>
        <v>63</v>
      </c>
      <c r="H50" s="12">
        <v>661.22</v>
      </c>
      <c r="I50" s="13">
        <f t="shared" si="2"/>
        <v>41656.86</v>
      </c>
      <c r="J50" s="14">
        <v>710</v>
      </c>
      <c r="K50" s="13">
        <f t="shared" si="3"/>
        <v>44730</v>
      </c>
      <c r="L50" s="11">
        <f>G50-'17'!D50</f>
        <v>0</v>
      </c>
      <c r="M50" s="13">
        <f t="shared" si="4"/>
        <v>0</v>
      </c>
    </row>
    <row r="51" spans="1:13">
      <c r="A51" s="7" t="s">
        <v>43</v>
      </c>
      <c r="B51" s="7" t="s">
        <v>18</v>
      </c>
      <c r="C51" s="9">
        <v>50</v>
      </c>
      <c r="D51" s="10">
        <v>34</v>
      </c>
      <c r="E51" s="10"/>
      <c r="F51" s="9">
        <f t="shared" si="0"/>
        <v>0</v>
      </c>
      <c r="G51" s="11">
        <f t="shared" si="1"/>
        <v>34</v>
      </c>
      <c r="H51" s="12">
        <v>661.22</v>
      </c>
      <c r="I51" s="13">
        <f t="shared" si="2"/>
        <v>22481.48</v>
      </c>
      <c r="J51" s="14">
        <v>710</v>
      </c>
      <c r="K51" s="13">
        <f t="shared" si="3"/>
        <v>24140</v>
      </c>
      <c r="L51" s="11">
        <f>G51-'17'!D51</f>
        <v>0</v>
      </c>
      <c r="M51" s="13">
        <f t="shared" si="4"/>
        <v>0</v>
      </c>
    </row>
    <row r="52" spans="1:13">
      <c r="A52" s="7" t="s">
        <v>43</v>
      </c>
      <c r="B52" s="7" t="s">
        <v>19</v>
      </c>
      <c r="C52" s="9">
        <v>50</v>
      </c>
      <c r="D52" s="10"/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f>G52-'17'!D52</f>
        <v>0</v>
      </c>
      <c r="M52" s="13">
        <f t="shared" si="4"/>
        <v>0</v>
      </c>
    </row>
    <row r="53" spans="1:13">
      <c r="A53" s="7" t="s">
        <v>43</v>
      </c>
      <c r="B53" s="7" t="s">
        <v>20</v>
      </c>
      <c r="C53" s="9">
        <v>50</v>
      </c>
      <c r="D53" s="10"/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f>G53-'17'!D53</f>
        <v>0</v>
      </c>
      <c r="M53" s="13">
        <f t="shared" si="4"/>
        <v>0</v>
      </c>
    </row>
    <row r="54" spans="1:13">
      <c r="A54" s="7" t="s">
        <v>43</v>
      </c>
      <c r="B54" s="7" t="s">
        <v>21</v>
      </c>
      <c r="C54" s="9">
        <v>50</v>
      </c>
      <c r="D54" s="10"/>
      <c r="E54" s="10"/>
      <c r="F54" s="9">
        <f t="shared" si="0"/>
        <v>0</v>
      </c>
      <c r="G54" s="11">
        <f t="shared" si="1"/>
        <v>0</v>
      </c>
      <c r="H54" s="12">
        <v>661.22</v>
      </c>
      <c r="I54" s="13">
        <f t="shared" si="2"/>
        <v>0</v>
      </c>
      <c r="J54" s="14">
        <v>710</v>
      </c>
      <c r="K54" s="13">
        <f t="shared" si="3"/>
        <v>0</v>
      </c>
      <c r="L54" s="11">
        <f>G54-'17'!D54</f>
        <v>0</v>
      </c>
      <c r="M54" s="13">
        <f t="shared" si="4"/>
        <v>0</v>
      </c>
    </row>
    <row r="55" spans="1:13">
      <c r="A55" s="7" t="s">
        <v>43</v>
      </c>
      <c r="B55" s="7" t="s">
        <v>44</v>
      </c>
      <c r="C55" s="9">
        <v>85</v>
      </c>
      <c r="D55" s="10">
        <v>3</v>
      </c>
      <c r="E55" s="10"/>
      <c r="F55" s="9">
        <f t="shared" si="0"/>
        <v>0</v>
      </c>
      <c r="G55" s="11">
        <f t="shared" si="1"/>
        <v>3</v>
      </c>
      <c r="H55" s="12">
        <v>797.07</v>
      </c>
      <c r="I55" s="13">
        <f t="shared" si="2"/>
        <v>2391.21</v>
      </c>
      <c r="J55" s="14">
        <v>845</v>
      </c>
      <c r="K55" s="13">
        <f t="shared" si="3"/>
        <v>2535</v>
      </c>
      <c r="L55" s="11">
        <f>G55-'17'!D55</f>
        <v>0</v>
      </c>
      <c r="M55" s="13">
        <f t="shared" si="4"/>
        <v>0</v>
      </c>
    </row>
    <row r="56" spans="1:13">
      <c r="A56" s="7" t="s">
        <v>45</v>
      </c>
      <c r="B56" s="7" t="s">
        <v>35</v>
      </c>
      <c r="C56" s="9">
        <v>18</v>
      </c>
      <c r="D56" s="10">
        <v>828</v>
      </c>
      <c r="E56" s="10"/>
      <c r="F56" s="9">
        <f t="shared" si="0"/>
        <v>0</v>
      </c>
      <c r="G56" s="11">
        <f t="shared" si="1"/>
        <v>828</v>
      </c>
      <c r="H56" s="12">
        <v>160.77000000000001</v>
      </c>
      <c r="I56" s="13">
        <f t="shared" si="2"/>
        <v>133117.56</v>
      </c>
      <c r="J56" s="14">
        <v>175</v>
      </c>
      <c r="K56" s="13">
        <f t="shared" si="3"/>
        <v>144900</v>
      </c>
      <c r="L56" s="11">
        <f>G56-'17'!D56</f>
        <v>0</v>
      </c>
      <c r="M56" s="13">
        <f t="shared" si="4"/>
        <v>0</v>
      </c>
    </row>
    <row r="57" spans="1:13">
      <c r="A57" s="7" t="s">
        <v>46</v>
      </c>
      <c r="B57" s="7" t="s">
        <v>13</v>
      </c>
      <c r="C57" s="9">
        <v>70</v>
      </c>
      <c r="D57" s="10">
        <v>13</v>
      </c>
      <c r="E57" s="10"/>
      <c r="F57" s="9">
        <f t="shared" si="0"/>
        <v>0</v>
      </c>
      <c r="G57" s="11">
        <f t="shared" si="1"/>
        <v>13</v>
      </c>
      <c r="H57" s="12">
        <v>744.99</v>
      </c>
      <c r="I57" s="13">
        <f t="shared" si="2"/>
        <v>9684.8700000000008</v>
      </c>
      <c r="J57" s="14">
        <v>790</v>
      </c>
      <c r="K57" s="13">
        <f t="shared" si="3"/>
        <v>10270</v>
      </c>
      <c r="L57" s="11">
        <f>G57-'17'!D57</f>
        <v>0</v>
      </c>
      <c r="M57" s="13">
        <f t="shared" si="4"/>
        <v>0</v>
      </c>
    </row>
    <row r="58" spans="1:13">
      <c r="A58" s="7" t="s">
        <v>47</v>
      </c>
      <c r="B58" s="7" t="s">
        <v>29</v>
      </c>
      <c r="C58" s="9">
        <v>30</v>
      </c>
      <c r="D58" s="10"/>
      <c r="E58" s="10"/>
      <c r="F58" s="9">
        <f t="shared" si="0"/>
        <v>0</v>
      </c>
      <c r="G58" s="11">
        <f t="shared" si="1"/>
        <v>0</v>
      </c>
      <c r="H58" s="12">
        <v>316.14999999999998</v>
      </c>
      <c r="I58" s="13">
        <f t="shared" si="2"/>
        <v>0</v>
      </c>
      <c r="J58" s="14">
        <v>336</v>
      </c>
      <c r="K58" s="13">
        <f t="shared" si="3"/>
        <v>0</v>
      </c>
      <c r="L58" s="11">
        <f>G58-'17'!D58</f>
        <v>0</v>
      </c>
      <c r="M58" s="13">
        <f t="shared" si="4"/>
        <v>0</v>
      </c>
    </row>
    <row r="59" spans="1:13">
      <c r="A59" s="7" t="s">
        <v>48</v>
      </c>
      <c r="B59" s="7" t="s">
        <v>13</v>
      </c>
      <c r="C59" s="9">
        <v>95</v>
      </c>
      <c r="D59" s="10">
        <v>15</v>
      </c>
      <c r="E59" s="10"/>
      <c r="F59" s="9">
        <f t="shared" si="0"/>
        <v>0</v>
      </c>
      <c r="G59" s="11">
        <f t="shared" si="1"/>
        <v>15</v>
      </c>
      <c r="H59" s="12">
        <v>1042.9000000000001</v>
      </c>
      <c r="I59" s="13">
        <f t="shared" si="2"/>
        <v>15643.500000000002</v>
      </c>
      <c r="J59" s="14">
        <v>1105</v>
      </c>
      <c r="K59" s="13">
        <f t="shared" si="3"/>
        <v>16575</v>
      </c>
      <c r="L59" s="11">
        <f>G59-'17'!D59</f>
        <v>0</v>
      </c>
      <c r="M59" s="13">
        <f t="shared" si="4"/>
        <v>0</v>
      </c>
    </row>
    <row r="60" spans="1:13">
      <c r="A60" s="7" t="s">
        <v>49</v>
      </c>
      <c r="B60" s="7" t="s">
        <v>35</v>
      </c>
      <c r="C60" s="9">
        <v>28</v>
      </c>
      <c r="D60" s="10"/>
      <c r="E60" s="10">
        <v>24</v>
      </c>
      <c r="F60" s="9">
        <f t="shared" si="0"/>
        <v>3961.44</v>
      </c>
      <c r="G60" s="11">
        <f t="shared" si="1"/>
        <v>24</v>
      </c>
      <c r="H60" s="12">
        <v>165.06</v>
      </c>
      <c r="I60" s="13">
        <f t="shared" si="2"/>
        <v>0</v>
      </c>
      <c r="J60" s="14">
        <v>180</v>
      </c>
      <c r="K60" s="13">
        <f t="shared" si="3"/>
        <v>0</v>
      </c>
      <c r="L60" s="11">
        <f>G60-'17'!D60</f>
        <v>0</v>
      </c>
      <c r="M60" s="13">
        <f t="shared" si="4"/>
        <v>0</v>
      </c>
    </row>
    <row r="61" spans="1:13">
      <c r="A61" s="7" t="s">
        <v>50</v>
      </c>
      <c r="B61" s="7" t="s">
        <v>17</v>
      </c>
      <c r="C61" s="9">
        <v>70</v>
      </c>
      <c r="D61" s="10"/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f>G61-'17'!D61</f>
        <v>0</v>
      </c>
      <c r="M61" s="13">
        <f t="shared" si="4"/>
        <v>0</v>
      </c>
    </row>
    <row r="62" spans="1:13">
      <c r="A62" s="7" t="s">
        <v>50</v>
      </c>
      <c r="B62" s="7" t="s">
        <v>18</v>
      </c>
      <c r="C62" s="9">
        <v>70</v>
      </c>
      <c r="D62" s="10"/>
      <c r="E62" s="10"/>
      <c r="F62" s="9">
        <f t="shared" si="0"/>
        <v>0</v>
      </c>
      <c r="G62" s="11">
        <f t="shared" si="1"/>
        <v>0</v>
      </c>
      <c r="H62" s="12">
        <v>721.25</v>
      </c>
      <c r="I62" s="13">
        <f t="shared" si="2"/>
        <v>0</v>
      </c>
      <c r="J62" s="14">
        <v>771</v>
      </c>
      <c r="K62" s="13">
        <f t="shared" si="3"/>
        <v>0</v>
      </c>
      <c r="L62" s="11">
        <f>G62-'17'!D62</f>
        <v>0</v>
      </c>
      <c r="M62" s="13">
        <f t="shared" si="4"/>
        <v>0</v>
      </c>
    </row>
    <row r="63" spans="1:13">
      <c r="A63" s="7" t="s">
        <v>51</v>
      </c>
      <c r="B63" s="7" t="s">
        <v>17</v>
      </c>
      <c r="C63" s="9">
        <v>100</v>
      </c>
      <c r="D63" s="10">
        <v>0</v>
      </c>
      <c r="E63" s="10">
        <v>280</v>
      </c>
      <c r="F63" s="9">
        <f t="shared" si="0"/>
        <v>221449.19999999998</v>
      </c>
      <c r="G63" s="11">
        <f t="shared" si="1"/>
        <v>280</v>
      </c>
      <c r="H63" s="12">
        <v>790.89</v>
      </c>
      <c r="I63" s="13">
        <f t="shared" si="2"/>
        <v>0</v>
      </c>
      <c r="J63" s="14">
        <v>845</v>
      </c>
      <c r="K63" s="13">
        <f t="shared" si="3"/>
        <v>0</v>
      </c>
      <c r="L63" s="11">
        <f>G63-'17'!D63</f>
        <v>1</v>
      </c>
      <c r="M63" s="13">
        <f t="shared" si="4"/>
        <v>845</v>
      </c>
    </row>
    <row r="64" spans="1:13">
      <c r="A64" s="7" t="s">
        <v>51</v>
      </c>
      <c r="B64" s="7" t="s">
        <v>18</v>
      </c>
      <c r="C64" s="9">
        <v>100</v>
      </c>
      <c r="D64" s="10">
        <v>15</v>
      </c>
      <c r="E64" s="10">
        <v>112</v>
      </c>
      <c r="F64" s="9">
        <f t="shared" si="0"/>
        <v>88579.68</v>
      </c>
      <c r="G64" s="11">
        <f t="shared" si="1"/>
        <v>127</v>
      </c>
      <c r="H64" s="12">
        <v>790.89</v>
      </c>
      <c r="I64" s="13">
        <f t="shared" si="2"/>
        <v>11863.35</v>
      </c>
      <c r="J64" s="14">
        <v>845</v>
      </c>
      <c r="K64" s="13">
        <f t="shared" si="3"/>
        <v>12675</v>
      </c>
      <c r="L64" s="11">
        <f>G64-'17'!D64</f>
        <v>0</v>
      </c>
      <c r="M64" s="13">
        <f t="shared" si="4"/>
        <v>0</v>
      </c>
    </row>
    <row r="65" spans="1:13">
      <c r="A65" s="7" t="s">
        <v>51</v>
      </c>
      <c r="B65" s="7" t="s">
        <v>19</v>
      </c>
      <c r="C65" s="9">
        <v>100</v>
      </c>
      <c r="D65" s="10"/>
      <c r="E65" s="10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f>G65-'17'!D65</f>
        <v>0</v>
      </c>
      <c r="M65" s="13">
        <f t="shared" si="4"/>
        <v>0</v>
      </c>
    </row>
    <row r="66" spans="1:13">
      <c r="A66" s="7" t="s">
        <v>51</v>
      </c>
      <c r="B66" s="7" t="s">
        <v>20</v>
      </c>
      <c r="C66" s="9">
        <v>100</v>
      </c>
      <c r="D66" s="10"/>
      <c r="E66" s="11"/>
      <c r="F66" s="9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f>G66-'17'!D66</f>
        <v>0</v>
      </c>
      <c r="M66" s="13">
        <f t="shared" si="4"/>
        <v>0</v>
      </c>
    </row>
    <row r="67" spans="1:13">
      <c r="A67" s="7" t="s">
        <v>51</v>
      </c>
      <c r="B67" s="7" t="s">
        <v>21</v>
      </c>
      <c r="C67" s="9">
        <v>100</v>
      </c>
      <c r="D67" s="10"/>
      <c r="E67" s="11"/>
      <c r="F67" s="15">
        <f t="shared" si="0"/>
        <v>0</v>
      </c>
      <c r="G67" s="11">
        <f t="shared" si="1"/>
        <v>0</v>
      </c>
      <c r="H67" s="12">
        <v>790.89</v>
      </c>
      <c r="I67" s="13">
        <f t="shared" si="2"/>
        <v>0</v>
      </c>
      <c r="J67" s="14">
        <v>845</v>
      </c>
      <c r="K67" s="13">
        <f t="shared" si="3"/>
        <v>0</v>
      </c>
      <c r="L67" s="11">
        <f>G67-'17'!D67</f>
        <v>0</v>
      </c>
      <c r="M67" s="13">
        <f t="shared" si="4"/>
        <v>0</v>
      </c>
    </row>
    <row r="68" spans="1:13">
      <c r="A68" s="35" t="s">
        <v>52</v>
      </c>
      <c r="B68" s="36"/>
      <c r="C68" s="37"/>
      <c r="D68" s="16">
        <f>SUM(D2:D67)</f>
        <v>2962</v>
      </c>
      <c r="E68" s="17">
        <f>SUM(E2:E67)</f>
        <v>979</v>
      </c>
      <c r="F68" s="18">
        <f>SUM(F2:F67)</f>
        <v>559034.25</v>
      </c>
      <c r="G68" s="17">
        <f>SUM(G2:G67)</f>
        <v>3941</v>
      </c>
      <c r="H68" s="19"/>
      <c r="I68" s="20">
        <f>SUM(I2:I67)</f>
        <v>1171027.69</v>
      </c>
      <c r="J68" s="21">
        <f>SUM(J2:J67)</f>
        <v>41132</v>
      </c>
      <c r="K68" s="22">
        <f>SUM(K2:K67)</f>
        <v>1253094</v>
      </c>
      <c r="L68" s="23">
        <f>SUM(L2:L67)</f>
        <v>1</v>
      </c>
      <c r="M68" s="24">
        <f>SUM(M2:M67)</f>
        <v>845</v>
      </c>
    </row>
    <row r="71" spans="1:13">
      <c r="F71" s="31"/>
    </row>
    <row r="74" spans="1:13">
      <c r="I74" s="33"/>
      <c r="J74" s="32"/>
      <c r="K74" s="33"/>
    </row>
    <row r="75" spans="1:13">
      <c r="I75" s="33"/>
      <c r="J75" s="32"/>
      <c r="K75" s="33"/>
    </row>
    <row r="76" spans="1:13">
      <c r="I76" s="33"/>
      <c r="J76" s="29"/>
      <c r="K76" s="30"/>
    </row>
    <row r="77" spans="1:13">
      <c r="D77" s="25" t="s">
        <v>53</v>
      </c>
      <c r="I77" s="33"/>
      <c r="J77" s="34"/>
      <c r="K77" s="34"/>
    </row>
    <row r="78" spans="1:13"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  <c r="I80" s="33"/>
      <c r="J80" s="32"/>
      <c r="K80" s="33"/>
    </row>
    <row r="81" spans="6:6">
      <c r="F81" s="26"/>
    </row>
  </sheetData>
  <mergeCells count="1">
    <mergeCell ref="A68:C6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81"/>
  <sheetViews>
    <sheetView topLeftCell="A45" workbookViewId="0">
      <selection activeCell="G68" sqref="G68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326</v>
      </c>
      <c r="E2" s="11"/>
      <c r="F2" s="9">
        <f>E2*H2</f>
        <v>0</v>
      </c>
      <c r="G2" s="11">
        <f>D2+E2</f>
        <v>326</v>
      </c>
      <c r="H2" s="12">
        <v>308.13</v>
      </c>
      <c r="I2" s="13">
        <f>H2*D2</f>
        <v>100450.38</v>
      </c>
      <c r="J2" s="14">
        <v>326</v>
      </c>
      <c r="K2" s="13">
        <f>J2*D2</f>
        <v>106276</v>
      </c>
      <c r="L2" s="11">
        <f>G2-'18'!D2</f>
        <v>19</v>
      </c>
      <c r="M2" s="13">
        <f>L2*J2</f>
        <v>6194</v>
      </c>
    </row>
    <row r="3" spans="1:13">
      <c r="A3" s="7" t="s">
        <v>12</v>
      </c>
      <c r="B3" s="8" t="s">
        <v>14</v>
      </c>
      <c r="C3" s="9">
        <v>9</v>
      </c>
      <c r="D3" s="10">
        <v>82</v>
      </c>
      <c r="E3" s="11"/>
      <c r="F3" s="9">
        <f t="shared" ref="F3:F67" si="0">E3*H3</f>
        <v>0</v>
      </c>
      <c r="G3" s="11">
        <f t="shared" ref="G3:G67" si="1">D3+E3</f>
        <v>82</v>
      </c>
      <c r="H3" s="12">
        <v>308.19</v>
      </c>
      <c r="I3" s="13">
        <f t="shared" ref="I3:I67" si="2">H3*D3</f>
        <v>25271.579999999998</v>
      </c>
      <c r="J3" s="14">
        <v>326</v>
      </c>
      <c r="K3" s="13">
        <f t="shared" ref="K3:K67" si="3">J3*D3</f>
        <v>26732</v>
      </c>
      <c r="L3" s="11">
        <f>G3-'18'!D3</f>
        <v>5</v>
      </c>
      <c r="M3" s="13">
        <f t="shared" ref="M3:M67" si="4">L3*J3</f>
        <v>1630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f>G4-'18'!D4</f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182</v>
      </c>
      <c r="E5" s="11"/>
      <c r="F5" s="9">
        <f t="shared" si="0"/>
        <v>0</v>
      </c>
      <c r="G5" s="11">
        <f t="shared" si="1"/>
        <v>182</v>
      </c>
      <c r="H5" s="12">
        <v>174.77</v>
      </c>
      <c r="I5" s="13">
        <f t="shared" si="2"/>
        <v>31808.140000000003</v>
      </c>
      <c r="J5" s="14">
        <v>192</v>
      </c>
      <c r="K5" s="13">
        <f t="shared" si="3"/>
        <v>34944</v>
      </c>
      <c r="L5" s="11">
        <f>G5-'18'!D5</f>
        <v>15</v>
      </c>
      <c r="M5" s="13">
        <f t="shared" si="4"/>
        <v>2880</v>
      </c>
    </row>
    <row r="6" spans="1:13">
      <c r="A6" s="7" t="s">
        <v>16</v>
      </c>
      <c r="B6" s="8" t="s">
        <v>18</v>
      </c>
      <c r="C6" s="9">
        <v>10</v>
      </c>
      <c r="D6" s="10">
        <v>183</v>
      </c>
      <c r="E6" s="11"/>
      <c r="F6" s="9">
        <f t="shared" si="0"/>
        <v>0</v>
      </c>
      <c r="G6" s="11">
        <f t="shared" si="1"/>
        <v>183</v>
      </c>
      <c r="H6" s="12">
        <v>174.77</v>
      </c>
      <c r="I6" s="13">
        <f t="shared" si="2"/>
        <v>31982.910000000003</v>
      </c>
      <c r="J6" s="14">
        <v>192</v>
      </c>
      <c r="K6" s="13">
        <f t="shared" si="3"/>
        <v>35136</v>
      </c>
      <c r="L6" s="11">
        <f>G6-'18'!D6</f>
        <v>8</v>
      </c>
      <c r="M6" s="13">
        <f t="shared" si="4"/>
        <v>1536</v>
      </c>
    </row>
    <row r="7" spans="1:13">
      <c r="A7" s="7" t="s">
        <v>16</v>
      </c>
      <c r="B7" s="8" t="s">
        <v>19</v>
      </c>
      <c r="C7" s="9">
        <v>10</v>
      </c>
      <c r="D7" s="10">
        <v>36</v>
      </c>
      <c r="E7" s="11"/>
      <c r="F7" s="9">
        <f t="shared" si="0"/>
        <v>0</v>
      </c>
      <c r="G7" s="11">
        <f t="shared" si="1"/>
        <v>36</v>
      </c>
      <c r="H7" s="12">
        <v>174.77</v>
      </c>
      <c r="I7" s="13">
        <f t="shared" si="2"/>
        <v>6291.72</v>
      </c>
      <c r="J7" s="14">
        <v>192</v>
      </c>
      <c r="K7" s="13">
        <f t="shared" si="3"/>
        <v>6912</v>
      </c>
      <c r="L7" s="11">
        <f>G7-'18'!D7</f>
        <v>2</v>
      </c>
      <c r="M7" s="13">
        <f t="shared" si="4"/>
        <v>384</v>
      </c>
    </row>
    <row r="8" spans="1:13">
      <c r="A8" s="7" t="s">
        <v>16</v>
      </c>
      <c r="B8" s="8" t="s">
        <v>20</v>
      </c>
      <c r="C8" s="9">
        <v>10</v>
      </c>
      <c r="D8" s="10">
        <v>25</v>
      </c>
      <c r="E8" s="11"/>
      <c r="F8" s="9">
        <f t="shared" si="0"/>
        <v>0</v>
      </c>
      <c r="G8" s="11">
        <f t="shared" si="1"/>
        <v>25</v>
      </c>
      <c r="H8" s="12">
        <v>174.77</v>
      </c>
      <c r="I8" s="13">
        <f t="shared" si="2"/>
        <v>4369.25</v>
      </c>
      <c r="J8" s="14">
        <v>192</v>
      </c>
      <c r="K8" s="13">
        <f t="shared" si="3"/>
        <v>4800</v>
      </c>
      <c r="L8" s="11">
        <f>G8-'18'!D8</f>
        <v>8</v>
      </c>
      <c r="M8" s="13">
        <f t="shared" si="4"/>
        <v>1536</v>
      </c>
    </row>
    <row r="9" spans="1:13">
      <c r="A9" s="7" t="s">
        <v>16</v>
      </c>
      <c r="B9" s="8" t="s">
        <v>21</v>
      </c>
      <c r="C9" s="9">
        <v>10</v>
      </c>
      <c r="D9" s="10">
        <v>126</v>
      </c>
      <c r="E9" s="11"/>
      <c r="F9" s="9">
        <f t="shared" si="0"/>
        <v>0</v>
      </c>
      <c r="G9" s="11">
        <f t="shared" si="1"/>
        <v>126</v>
      </c>
      <c r="H9" s="12">
        <v>174.77</v>
      </c>
      <c r="I9" s="13">
        <f t="shared" si="2"/>
        <v>22021.02</v>
      </c>
      <c r="J9" s="14">
        <v>192</v>
      </c>
      <c r="K9" s="13">
        <f t="shared" si="3"/>
        <v>24192</v>
      </c>
      <c r="L9" s="11">
        <f>G9-'18'!D9</f>
        <v>3</v>
      </c>
      <c r="M9" s="13">
        <f t="shared" si="4"/>
        <v>576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f>G10-'18'!D10</f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18</v>
      </c>
      <c r="E11" s="11"/>
      <c r="F11" s="9">
        <f t="shared" si="0"/>
        <v>0</v>
      </c>
      <c r="G11" s="11">
        <f t="shared" si="1"/>
        <v>18</v>
      </c>
      <c r="H11" s="12">
        <v>470.8</v>
      </c>
      <c r="I11" s="13">
        <f t="shared" si="2"/>
        <v>8474.4</v>
      </c>
      <c r="J11" s="14">
        <v>505</v>
      </c>
      <c r="K11" s="13">
        <f t="shared" si="3"/>
        <v>9090</v>
      </c>
      <c r="L11" s="11">
        <f>G11-'18'!D11</f>
        <v>2</v>
      </c>
      <c r="M11" s="13">
        <f t="shared" si="4"/>
        <v>1010</v>
      </c>
    </row>
    <row r="12" spans="1:13">
      <c r="A12" s="7" t="s">
        <v>22</v>
      </c>
      <c r="B12" s="8" t="s">
        <v>17</v>
      </c>
      <c r="C12" s="9">
        <v>20</v>
      </c>
      <c r="D12" s="10">
        <v>556</v>
      </c>
      <c r="E12" s="11"/>
      <c r="F12" s="9">
        <f>E12*H12</f>
        <v>0</v>
      </c>
      <c r="G12" s="11">
        <f t="shared" si="1"/>
        <v>556</v>
      </c>
      <c r="H12" s="12">
        <v>475.77</v>
      </c>
      <c r="I12" s="13">
        <f t="shared" si="2"/>
        <v>264528.12</v>
      </c>
      <c r="J12" s="14">
        <v>505</v>
      </c>
      <c r="K12" s="13">
        <f t="shared" si="3"/>
        <v>280780</v>
      </c>
      <c r="L12" s="11">
        <f>G12-'18'!D12</f>
        <v>82</v>
      </c>
      <c r="M12" s="13">
        <f t="shared" si="4"/>
        <v>41410</v>
      </c>
    </row>
    <row r="13" spans="1:13">
      <c r="A13" s="7" t="s">
        <v>22</v>
      </c>
      <c r="B13" s="8" t="s">
        <v>18</v>
      </c>
      <c r="C13" s="9">
        <v>20</v>
      </c>
      <c r="D13" s="10">
        <v>148</v>
      </c>
      <c r="E13" s="11"/>
      <c r="F13" s="9">
        <f t="shared" si="0"/>
        <v>0</v>
      </c>
      <c r="G13" s="11">
        <f t="shared" si="1"/>
        <v>148</v>
      </c>
      <c r="H13" s="12">
        <v>475.77</v>
      </c>
      <c r="I13" s="13">
        <f t="shared" si="2"/>
        <v>70413.959999999992</v>
      </c>
      <c r="J13" s="14">
        <v>505</v>
      </c>
      <c r="K13" s="13">
        <f t="shared" si="3"/>
        <v>74740</v>
      </c>
      <c r="L13" s="11">
        <f>G13-'18'!D13</f>
        <v>49</v>
      </c>
      <c r="M13" s="13">
        <f t="shared" si="4"/>
        <v>24745</v>
      </c>
    </row>
    <row r="14" spans="1:13">
      <c r="A14" s="7" t="s">
        <v>22</v>
      </c>
      <c r="B14" s="8" t="s">
        <v>19</v>
      </c>
      <c r="C14" s="9">
        <v>20</v>
      </c>
      <c r="D14" s="10">
        <v>39</v>
      </c>
      <c r="E14" s="11"/>
      <c r="F14" s="9">
        <f t="shared" si="0"/>
        <v>0</v>
      </c>
      <c r="G14" s="11">
        <f t="shared" si="1"/>
        <v>39</v>
      </c>
      <c r="H14" s="12">
        <v>470.8</v>
      </c>
      <c r="I14" s="13">
        <f t="shared" si="2"/>
        <v>18361.2</v>
      </c>
      <c r="J14" s="14">
        <v>505</v>
      </c>
      <c r="K14" s="13">
        <f t="shared" si="3"/>
        <v>19695</v>
      </c>
      <c r="L14" s="11">
        <f>G14-'18'!D14</f>
        <v>13</v>
      </c>
      <c r="M14" s="13">
        <f t="shared" si="4"/>
        <v>6565</v>
      </c>
    </row>
    <row r="15" spans="1:13">
      <c r="A15" s="7" t="s">
        <v>22</v>
      </c>
      <c r="B15" s="8" t="s">
        <v>20</v>
      </c>
      <c r="C15" s="9">
        <v>20</v>
      </c>
      <c r="D15" s="10">
        <v>34</v>
      </c>
      <c r="E15" s="11"/>
      <c r="F15" s="9">
        <f t="shared" si="0"/>
        <v>0</v>
      </c>
      <c r="G15" s="11">
        <f t="shared" si="1"/>
        <v>34</v>
      </c>
      <c r="H15" s="12">
        <v>470.8</v>
      </c>
      <c r="I15" s="13">
        <f t="shared" si="2"/>
        <v>16007.2</v>
      </c>
      <c r="J15" s="14">
        <v>505</v>
      </c>
      <c r="K15" s="13">
        <f t="shared" si="3"/>
        <v>17170</v>
      </c>
      <c r="L15" s="11">
        <f>G15-'18'!D15</f>
        <v>8</v>
      </c>
      <c r="M15" s="13">
        <f t="shared" si="4"/>
        <v>4040</v>
      </c>
    </row>
    <row r="16" spans="1:13">
      <c r="A16" s="7" t="s">
        <v>22</v>
      </c>
      <c r="B16" s="8" t="s">
        <v>21</v>
      </c>
      <c r="C16" s="9">
        <v>20</v>
      </c>
      <c r="D16" s="10"/>
      <c r="E16" s="11"/>
      <c r="F16" s="9">
        <f t="shared" si="0"/>
        <v>0</v>
      </c>
      <c r="G16" s="11">
        <f t="shared" si="1"/>
        <v>0</v>
      </c>
      <c r="H16" s="12">
        <v>470.8</v>
      </c>
      <c r="I16" s="13">
        <f t="shared" si="2"/>
        <v>0</v>
      </c>
      <c r="J16" s="14">
        <v>505</v>
      </c>
      <c r="K16" s="13">
        <f t="shared" si="3"/>
        <v>0</v>
      </c>
      <c r="L16" s="11">
        <f>G16-'18'!D16</f>
        <v>0</v>
      </c>
      <c r="M16" s="13">
        <f t="shared" si="4"/>
        <v>0</v>
      </c>
    </row>
    <row r="17" spans="1:13">
      <c r="A17" s="7" t="s">
        <v>22</v>
      </c>
      <c r="B17" s="8" t="s">
        <v>29</v>
      </c>
      <c r="C17" s="9">
        <v>11</v>
      </c>
      <c r="D17" s="10">
        <v>30</v>
      </c>
      <c r="E17" s="11"/>
      <c r="F17" s="9">
        <f t="shared" si="0"/>
        <v>0</v>
      </c>
      <c r="G17" s="11">
        <f t="shared" si="1"/>
        <v>30</v>
      </c>
      <c r="H17" s="12">
        <v>235.59</v>
      </c>
      <c r="I17" s="13">
        <f t="shared" si="2"/>
        <v>7067.7</v>
      </c>
      <c r="J17" s="14">
        <v>250</v>
      </c>
      <c r="K17" s="13">
        <f t="shared" si="3"/>
        <v>7500</v>
      </c>
      <c r="L17" s="11">
        <f>G17-'18'!D17</f>
        <v>4</v>
      </c>
      <c r="M17" s="13">
        <f t="shared" si="4"/>
        <v>1000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f>G18-'18'!D18</f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>
        <v>65</v>
      </c>
      <c r="E19" s="11"/>
      <c r="F19" s="9">
        <f t="shared" si="0"/>
        <v>0</v>
      </c>
      <c r="G19" s="11">
        <f t="shared" si="1"/>
        <v>65</v>
      </c>
      <c r="H19" s="12">
        <v>204</v>
      </c>
      <c r="I19" s="13">
        <f t="shared" si="2"/>
        <v>13260</v>
      </c>
      <c r="J19" s="14">
        <v>230</v>
      </c>
      <c r="K19" s="13">
        <f t="shared" si="3"/>
        <v>14950</v>
      </c>
      <c r="L19" s="11">
        <f>G19-'18'!D19</f>
        <v>14</v>
      </c>
      <c r="M19" s="13">
        <f t="shared" si="4"/>
        <v>3220</v>
      </c>
    </row>
    <row r="20" spans="1:13">
      <c r="A20" s="7" t="s">
        <v>22</v>
      </c>
      <c r="B20" s="8" t="s">
        <v>25</v>
      </c>
      <c r="C20" s="9">
        <v>10</v>
      </c>
      <c r="D20" s="10">
        <v>65</v>
      </c>
      <c r="E20" s="11"/>
      <c r="F20" s="9">
        <f t="shared" si="0"/>
        <v>0</v>
      </c>
      <c r="G20" s="11">
        <f t="shared" si="1"/>
        <v>65</v>
      </c>
      <c r="H20" s="12">
        <v>204</v>
      </c>
      <c r="I20" s="13">
        <f>H20*D20</f>
        <v>13260</v>
      </c>
      <c r="J20" s="14">
        <v>230</v>
      </c>
      <c r="K20" s="13">
        <f t="shared" si="3"/>
        <v>14950</v>
      </c>
      <c r="L20" s="11">
        <f>G20-'18'!D20</f>
        <v>11</v>
      </c>
      <c r="M20" s="13">
        <f t="shared" si="4"/>
        <v>2530</v>
      </c>
    </row>
    <row r="21" spans="1:13">
      <c r="A21" s="7" t="s">
        <v>22</v>
      </c>
      <c r="B21" s="8" t="s">
        <v>26</v>
      </c>
      <c r="C21" s="9">
        <v>10</v>
      </c>
      <c r="D21" s="10">
        <v>14</v>
      </c>
      <c r="E21" s="11"/>
      <c r="F21" s="9">
        <f t="shared" si="0"/>
        <v>0</v>
      </c>
      <c r="G21" s="11">
        <f t="shared" si="1"/>
        <v>14</v>
      </c>
      <c r="H21" s="12">
        <v>204</v>
      </c>
      <c r="I21" s="13">
        <f t="shared" si="2"/>
        <v>2856</v>
      </c>
      <c r="J21" s="14">
        <v>230</v>
      </c>
      <c r="K21" s="13">
        <f t="shared" si="3"/>
        <v>3220</v>
      </c>
      <c r="L21" s="11">
        <f>G21-'18'!D21</f>
        <v>1</v>
      </c>
      <c r="M21" s="13">
        <f t="shared" si="4"/>
        <v>230</v>
      </c>
    </row>
    <row r="22" spans="1:13">
      <c r="A22" s="7" t="s">
        <v>22</v>
      </c>
      <c r="B22" s="8" t="s">
        <v>13</v>
      </c>
      <c r="C22" s="9">
        <v>19</v>
      </c>
      <c r="D22" s="10">
        <v>24</v>
      </c>
      <c r="E22" s="11"/>
      <c r="F22" s="9">
        <f t="shared" si="0"/>
        <v>0</v>
      </c>
      <c r="G22" s="11">
        <f t="shared" si="1"/>
        <v>24</v>
      </c>
      <c r="H22" s="12">
        <v>474.46</v>
      </c>
      <c r="I22" s="13">
        <f t="shared" si="2"/>
        <v>11387.039999999999</v>
      </c>
      <c r="J22" s="14">
        <v>505</v>
      </c>
      <c r="K22" s="13">
        <f t="shared" si="3"/>
        <v>12120</v>
      </c>
      <c r="L22" s="11">
        <f>G22-'18'!D22</f>
        <v>23</v>
      </c>
      <c r="M22" s="13">
        <f t="shared" si="4"/>
        <v>11615</v>
      </c>
    </row>
    <row r="23" spans="1:13">
      <c r="A23" s="7" t="s">
        <v>22</v>
      </c>
      <c r="B23" s="8" t="s">
        <v>27</v>
      </c>
      <c r="C23" s="9">
        <v>24</v>
      </c>
      <c r="D23" s="10">
        <v>44</v>
      </c>
      <c r="E23" s="11"/>
      <c r="F23" s="9">
        <f t="shared" si="0"/>
        <v>0</v>
      </c>
      <c r="G23" s="11">
        <f t="shared" si="1"/>
        <v>44</v>
      </c>
      <c r="H23" s="12">
        <v>593.91999999999996</v>
      </c>
      <c r="I23" s="13">
        <f t="shared" si="2"/>
        <v>26132.48</v>
      </c>
      <c r="J23" s="14">
        <v>630</v>
      </c>
      <c r="K23" s="13">
        <f t="shared" si="3"/>
        <v>27720</v>
      </c>
      <c r="L23" s="11">
        <f>G23-'18'!D23</f>
        <v>30</v>
      </c>
      <c r="M23" s="13">
        <f t="shared" si="4"/>
        <v>18900</v>
      </c>
    </row>
    <row r="24" spans="1:13">
      <c r="A24" s="7" t="s">
        <v>30</v>
      </c>
      <c r="B24" s="8" t="s">
        <v>17</v>
      </c>
      <c r="C24" s="9">
        <v>25</v>
      </c>
      <c r="D24" s="10">
        <v>54</v>
      </c>
      <c r="E24" s="10"/>
      <c r="F24" s="9">
        <f t="shared" si="0"/>
        <v>0</v>
      </c>
      <c r="G24" s="11">
        <f t="shared" si="1"/>
        <v>54</v>
      </c>
      <c r="H24" s="12">
        <v>453.3</v>
      </c>
      <c r="I24" s="13">
        <f t="shared" si="2"/>
        <v>24478.2</v>
      </c>
      <c r="J24" s="14">
        <v>493</v>
      </c>
      <c r="K24" s="13">
        <f t="shared" si="3"/>
        <v>26622</v>
      </c>
      <c r="L24" s="11">
        <f>G24-'18'!D24</f>
        <v>23</v>
      </c>
      <c r="M24" s="13">
        <f t="shared" si="4"/>
        <v>11339</v>
      </c>
    </row>
    <row r="25" spans="1:13">
      <c r="A25" s="7" t="s">
        <v>30</v>
      </c>
      <c r="B25" s="8" t="s">
        <v>18</v>
      </c>
      <c r="C25" s="9">
        <v>25</v>
      </c>
      <c r="D25" s="10"/>
      <c r="E25" s="10"/>
      <c r="F25" s="9">
        <f t="shared" si="0"/>
        <v>0</v>
      </c>
      <c r="G25" s="11">
        <f t="shared" si="1"/>
        <v>0</v>
      </c>
      <c r="H25" s="12">
        <v>453.3</v>
      </c>
      <c r="I25" s="13">
        <f t="shared" si="2"/>
        <v>0</v>
      </c>
      <c r="J25" s="14">
        <v>493</v>
      </c>
      <c r="K25" s="13">
        <f t="shared" si="3"/>
        <v>0</v>
      </c>
      <c r="L25" s="11">
        <f>G25-'18'!D25</f>
        <v>0</v>
      </c>
      <c r="M25" s="13">
        <f t="shared" si="4"/>
        <v>0</v>
      </c>
    </row>
    <row r="26" spans="1:13">
      <c r="A26" s="7" t="s">
        <v>55</v>
      </c>
      <c r="B26" s="7" t="s">
        <v>17</v>
      </c>
      <c r="C26" s="9">
        <v>70</v>
      </c>
      <c r="D26" s="10">
        <v>26</v>
      </c>
      <c r="E26" s="10"/>
      <c r="F26" s="9">
        <f t="shared" si="0"/>
        <v>0</v>
      </c>
      <c r="G26" s="11">
        <f t="shared" si="1"/>
        <v>26</v>
      </c>
      <c r="H26" s="12">
        <v>959.04</v>
      </c>
      <c r="I26" s="13">
        <f t="shared" si="2"/>
        <v>24935.040000000001</v>
      </c>
      <c r="J26" s="14">
        <v>1010</v>
      </c>
      <c r="K26" s="13">
        <f t="shared" si="3"/>
        <v>26260</v>
      </c>
      <c r="L26" s="11">
        <f>G26-'18'!D26</f>
        <v>26</v>
      </c>
      <c r="M26" s="13">
        <f t="shared" si="4"/>
        <v>26260</v>
      </c>
    </row>
    <row r="27" spans="1:13">
      <c r="A27" s="7" t="s">
        <v>55</v>
      </c>
      <c r="B27" s="8" t="s">
        <v>18</v>
      </c>
      <c r="C27" s="9">
        <v>70</v>
      </c>
      <c r="D27" s="10"/>
      <c r="E27" s="10"/>
      <c r="F27" s="9">
        <f t="shared" si="0"/>
        <v>0</v>
      </c>
      <c r="G27" s="11">
        <f t="shared" si="1"/>
        <v>0</v>
      </c>
      <c r="H27" s="12">
        <v>959.04</v>
      </c>
      <c r="I27" s="13">
        <f t="shared" si="2"/>
        <v>0</v>
      </c>
      <c r="J27" s="14">
        <v>1010</v>
      </c>
      <c r="K27" s="13">
        <f t="shared" si="3"/>
        <v>0</v>
      </c>
      <c r="L27" s="11">
        <f>G27-'18'!D27</f>
        <v>0</v>
      </c>
      <c r="M27" s="13">
        <f t="shared" si="4"/>
        <v>0</v>
      </c>
    </row>
    <row r="28" spans="1:13">
      <c r="A28" s="7" t="s">
        <v>55</v>
      </c>
      <c r="B28" s="8" t="s">
        <v>21</v>
      </c>
      <c r="C28" s="9">
        <v>70</v>
      </c>
      <c r="D28" s="10">
        <v>26</v>
      </c>
      <c r="E28" s="10"/>
      <c r="F28" s="9">
        <f t="shared" si="0"/>
        <v>0</v>
      </c>
      <c r="G28" s="11">
        <f t="shared" si="1"/>
        <v>26</v>
      </c>
      <c r="H28" s="12">
        <v>959.04</v>
      </c>
      <c r="I28" s="13">
        <f t="shared" si="2"/>
        <v>24935.040000000001</v>
      </c>
      <c r="J28" s="14">
        <v>1010</v>
      </c>
      <c r="K28" s="13">
        <f t="shared" si="3"/>
        <v>26260</v>
      </c>
      <c r="L28" s="11">
        <f>G28-'18'!D28</f>
        <v>26</v>
      </c>
      <c r="M28" s="13">
        <f t="shared" si="4"/>
        <v>26260</v>
      </c>
    </row>
    <row r="29" spans="1:13">
      <c r="A29" s="7" t="s">
        <v>31</v>
      </c>
      <c r="B29" s="7" t="s">
        <v>17</v>
      </c>
      <c r="C29" s="9">
        <v>40</v>
      </c>
      <c r="D29" s="10"/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f>G29-'18'!D29</f>
        <v>0</v>
      </c>
      <c r="M29" s="13">
        <f t="shared" si="4"/>
        <v>0</v>
      </c>
    </row>
    <row r="30" spans="1:13">
      <c r="A30" s="7" t="s">
        <v>31</v>
      </c>
      <c r="B30" s="7" t="s">
        <v>18</v>
      </c>
      <c r="C30" s="9">
        <v>40</v>
      </c>
      <c r="D30" s="10"/>
      <c r="E30" s="10"/>
      <c r="F30" s="9">
        <f t="shared" si="0"/>
        <v>0</v>
      </c>
      <c r="G30" s="11">
        <f t="shared" si="1"/>
        <v>0</v>
      </c>
      <c r="H30" s="12">
        <v>821.36</v>
      </c>
      <c r="I30" s="13">
        <f t="shared" si="2"/>
        <v>0</v>
      </c>
      <c r="J30" s="14">
        <v>878</v>
      </c>
      <c r="K30" s="13">
        <f t="shared" si="3"/>
        <v>0</v>
      </c>
      <c r="L30" s="11">
        <f>G30-'18'!D30</f>
        <v>0</v>
      </c>
      <c r="M30" s="13">
        <f t="shared" si="4"/>
        <v>0</v>
      </c>
    </row>
    <row r="31" spans="1:13">
      <c r="A31" s="7" t="s">
        <v>31</v>
      </c>
      <c r="B31" s="7" t="s">
        <v>19</v>
      </c>
      <c r="C31" s="9">
        <v>40</v>
      </c>
      <c r="D31" s="10"/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f>G31-'18'!D31</f>
        <v>0</v>
      </c>
      <c r="M31" s="13">
        <f t="shared" si="4"/>
        <v>0</v>
      </c>
    </row>
    <row r="32" spans="1:13">
      <c r="A32" s="7" t="s">
        <v>31</v>
      </c>
      <c r="B32" s="7" t="s">
        <v>20</v>
      </c>
      <c r="C32" s="9">
        <v>40</v>
      </c>
      <c r="D32" s="10"/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f>G32-'18'!D32</f>
        <v>0</v>
      </c>
      <c r="M32" s="13">
        <f t="shared" si="4"/>
        <v>0</v>
      </c>
    </row>
    <row r="33" spans="1:13">
      <c r="A33" s="7" t="s">
        <v>31</v>
      </c>
      <c r="B33" s="7" t="s">
        <v>21</v>
      </c>
      <c r="C33" s="9">
        <v>40</v>
      </c>
      <c r="D33" s="10"/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f>G33-'18'!D33</f>
        <v>0</v>
      </c>
      <c r="M33" s="13">
        <f t="shared" si="4"/>
        <v>0</v>
      </c>
    </row>
    <row r="34" spans="1:13">
      <c r="A34" s="7" t="s">
        <v>31</v>
      </c>
      <c r="B34" s="7" t="s">
        <v>32</v>
      </c>
      <c r="C34" s="9">
        <v>40</v>
      </c>
      <c r="D34" s="10"/>
      <c r="E34" s="10"/>
      <c r="F34" s="9">
        <f t="shared" si="0"/>
        <v>0</v>
      </c>
      <c r="G34" s="11">
        <f t="shared" si="1"/>
        <v>0</v>
      </c>
      <c r="H34" s="12">
        <v>817.58</v>
      </c>
      <c r="I34" s="13">
        <f t="shared" si="2"/>
        <v>0</v>
      </c>
      <c r="J34" s="14">
        <v>878</v>
      </c>
      <c r="K34" s="13">
        <f t="shared" si="3"/>
        <v>0</v>
      </c>
      <c r="L34" s="11">
        <f>G34-'18'!D34</f>
        <v>0</v>
      </c>
      <c r="M34" s="13">
        <f t="shared" si="4"/>
        <v>0</v>
      </c>
    </row>
    <row r="35" spans="1:13">
      <c r="A35" s="7" t="s">
        <v>31</v>
      </c>
      <c r="B35" s="7" t="s">
        <v>33</v>
      </c>
      <c r="C35" s="9">
        <v>60</v>
      </c>
      <c r="D35" s="10">
        <v>250</v>
      </c>
      <c r="E35" s="10"/>
      <c r="F35" s="9">
        <f t="shared" si="0"/>
        <v>0</v>
      </c>
      <c r="G35" s="11">
        <f t="shared" si="1"/>
        <v>250</v>
      </c>
      <c r="H35" s="12">
        <v>1042.6500000000001</v>
      </c>
      <c r="I35" s="13">
        <f t="shared" si="2"/>
        <v>260662.50000000003</v>
      </c>
      <c r="J35" s="14">
        <v>1110</v>
      </c>
      <c r="K35" s="13">
        <f t="shared" si="3"/>
        <v>277500</v>
      </c>
      <c r="L35" s="11">
        <f>G35-'18'!D35</f>
        <v>16</v>
      </c>
      <c r="M35" s="13">
        <f t="shared" si="4"/>
        <v>17760</v>
      </c>
    </row>
    <row r="36" spans="1:13">
      <c r="A36" s="7" t="s">
        <v>34</v>
      </c>
      <c r="B36" s="7" t="s">
        <v>35</v>
      </c>
      <c r="C36" s="9">
        <v>7</v>
      </c>
      <c r="D36" s="10">
        <v>36</v>
      </c>
      <c r="E36" s="10"/>
      <c r="F36" s="9">
        <f t="shared" si="0"/>
        <v>0</v>
      </c>
      <c r="G36" s="11">
        <f t="shared" si="1"/>
        <v>36</v>
      </c>
      <c r="H36" s="12">
        <v>126.24</v>
      </c>
      <c r="I36" s="13">
        <f t="shared" si="2"/>
        <v>4544.6399999999994</v>
      </c>
      <c r="J36" s="14">
        <v>140</v>
      </c>
      <c r="K36" s="13">
        <f t="shared" si="3"/>
        <v>5040</v>
      </c>
      <c r="L36" s="11">
        <f>G36-'18'!D36</f>
        <v>11</v>
      </c>
      <c r="M36" s="13">
        <f t="shared" si="4"/>
        <v>1540</v>
      </c>
    </row>
    <row r="37" spans="1:13">
      <c r="A37" s="7" t="s">
        <v>36</v>
      </c>
      <c r="B37" s="7" t="s">
        <v>37</v>
      </c>
      <c r="C37" s="9">
        <v>125</v>
      </c>
      <c r="D37" s="10">
        <v>39</v>
      </c>
      <c r="E37" s="10"/>
      <c r="F37" s="9">
        <f t="shared" si="0"/>
        <v>0</v>
      </c>
      <c r="G37" s="11">
        <f t="shared" si="1"/>
        <v>39</v>
      </c>
      <c r="H37" s="12">
        <v>2050.54</v>
      </c>
      <c r="I37" s="13">
        <f t="shared" si="2"/>
        <v>79971.06</v>
      </c>
      <c r="J37" s="14">
        <v>2175</v>
      </c>
      <c r="K37" s="13">
        <f t="shared" si="3"/>
        <v>84825</v>
      </c>
      <c r="L37" s="11">
        <f>G37-'18'!D37</f>
        <v>4</v>
      </c>
      <c r="M37" s="13">
        <f t="shared" si="4"/>
        <v>8700</v>
      </c>
    </row>
    <row r="38" spans="1:13">
      <c r="A38" s="7" t="s">
        <v>38</v>
      </c>
      <c r="B38" s="7" t="s">
        <v>17</v>
      </c>
      <c r="C38" s="9">
        <v>20</v>
      </c>
      <c r="D38" s="10">
        <v>1</v>
      </c>
      <c r="E38" s="10"/>
      <c r="F38" s="9">
        <f t="shared" si="0"/>
        <v>0</v>
      </c>
      <c r="G38" s="11">
        <f t="shared" si="1"/>
        <v>1</v>
      </c>
      <c r="H38" s="12">
        <v>399.19</v>
      </c>
      <c r="I38" s="13">
        <f t="shared" si="2"/>
        <v>399.19</v>
      </c>
      <c r="J38" s="14">
        <v>420</v>
      </c>
      <c r="K38" s="13">
        <f t="shared" si="3"/>
        <v>420</v>
      </c>
      <c r="L38" s="11">
        <f>G38-'18'!D38</f>
        <v>1</v>
      </c>
      <c r="M38" s="13">
        <f t="shared" si="4"/>
        <v>420</v>
      </c>
    </row>
    <row r="39" spans="1:13">
      <c r="A39" s="7" t="s">
        <v>38</v>
      </c>
      <c r="B39" s="7" t="s">
        <v>18</v>
      </c>
      <c r="C39" s="9">
        <v>20</v>
      </c>
      <c r="D39" s="10"/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f>G39-'18'!D39</f>
        <v>0</v>
      </c>
      <c r="M39" s="13">
        <f t="shared" si="4"/>
        <v>0</v>
      </c>
    </row>
    <row r="40" spans="1:13">
      <c r="A40" s="7" t="s">
        <v>38</v>
      </c>
      <c r="B40" s="7" t="s">
        <v>21</v>
      </c>
      <c r="C40" s="9">
        <v>20</v>
      </c>
      <c r="D40" s="10"/>
      <c r="E40" s="10"/>
      <c r="F40" s="9">
        <f t="shared" si="0"/>
        <v>0</v>
      </c>
      <c r="G40" s="11">
        <f t="shared" si="1"/>
        <v>0</v>
      </c>
      <c r="H40" s="12">
        <v>399.19</v>
      </c>
      <c r="I40" s="13">
        <f t="shared" si="2"/>
        <v>0</v>
      </c>
      <c r="J40" s="14">
        <v>420</v>
      </c>
      <c r="K40" s="13">
        <f t="shared" si="3"/>
        <v>0</v>
      </c>
      <c r="L40" s="11">
        <f>G40-'18'!D40</f>
        <v>0</v>
      </c>
      <c r="M40" s="13">
        <f t="shared" si="4"/>
        <v>0</v>
      </c>
    </row>
    <row r="41" spans="1:13">
      <c r="A41" s="7" t="s">
        <v>39</v>
      </c>
      <c r="B41" s="7" t="s">
        <v>35</v>
      </c>
      <c r="C41" s="9">
        <v>9</v>
      </c>
      <c r="D41" s="10">
        <v>25</v>
      </c>
      <c r="E41" s="10"/>
      <c r="F41" s="9">
        <f t="shared" si="0"/>
        <v>0</v>
      </c>
      <c r="G41" s="11">
        <f t="shared" si="1"/>
        <v>25</v>
      </c>
      <c r="H41" s="12">
        <v>174.19</v>
      </c>
      <c r="I41" s="13">
        <f t="shared" si="2"/>
        <v>4354.75</v>
      </c>
      <c r="J41" s="14">
        <v>185</v>
      </c>
      <c r="K41" s="13">
        <f t="shared" si="3"/>
        <v>4625</v>
      </c>
      <c r="L41" s="11">
        <f>G41-'18'!D41</f>
        <v>1</v>
      </c>
      <c r="M41" s="13">
        <f t="shared" si="4"/>
        <v>185</v>
      </c>
    </row>
    <row r="42" spans="1:13">
      <c r="A42" s="7" t="s">
        <v>40</v>
      </c>
      <c r="B42" s="7" t="s">
        <v>13</v>
      </c>
      <c r="C42" s="9">
        <v>35</v>
      </c>
      <c r="D42" s="10">
        <v>5</v>
      </c>
      <c r="E42" s="10"/>
      <c r="F42" s="9">
        <f t="shared" si="0"/>
        <v>0</v>
      </c>
      <c r="G42" s="11">
        <f t="shared" si="1"/>
        <v>5</v>
      </c>
      <c r="H42" s="12">
        <v>748.13</v>
      </c>
      <c r="I42" s="13">
        <f t="shared" si="2"/>
        <v>3740.65</v>
      </c>
      <c r="J42" s="14">
        <v>795</v>
      </c>
      <c r="K42" s="13">
        <f t="shared" si="3"/>
        <v>3975</v>
      </c>
      <c r="L42" s="11">
        <f>G42-'18'!D42</f>
        <v>4</v>
      </c>
      <c r="M42" s="13">
        <f t="shared" si="4"/>
        <v>3180</v>
      </c>
    </row>
    <row r="43" spans="1:13">
      <c r="A43" s="7" t="s">
        <v>41</v>
      </c>
      <c r="B43" s="7" t="s">
        <v>17</v>
      </c>
      <c r="C43" s="9">
        <v>40</v>
      </c>
      <c r="D43" s="10">
        <v>52</v>
      </c>
      <c r="E43" s="10"/>
      <c r="F43" s="9">
        <f t="shared" si="0"/>
        <v>0</v>
      </c>
      <c r="G43" s="11">
        <f t="shared" si="1"/>
        <v>52</v>
      </c>
      <c r="H43" s="12">
        <v>842.86</v>
      </c>
      <c r="I43" s="13">
        <f t="shared" si="2"/>
        <v>43828.72</v>
      </c>
      <c r="J43" s="14">
        <v>900</v>
      </c>
      <c r="K43" s="13">
        <f t="shared" si="3"/>
        <v>46800</v>
      </c>
      <c r="L43" s="11">
        <f>G43-'18'!D43</f>
        <v>9</v>
      </c>
      <c r="M43" s="13">
        <f t="shared" si="4"/>
        <v>8100</v>
      </c>
    </row>
    <row r="44" spans="1:13">
      <c r="A44" s="7" t="s">
        <v>41</v>
      </c>
      <c r="B44" s="7" t="s">
        <v>18</v>
      </c>
      <c r="C44" s="9">
        <v>40</v>
      </c>
      <c r="D44" s="10">
        <v>37</v>
      </c>
      <c r="E44" s="10"/>
      <c r="F44" s="9">
        <f t="shared" si="0"/>
        <v>0</v>
      </c>
      <c r="G44" s="11">
        <f t="shared" si="1"/>
        <v>37</v>
      </c>
      <c r="H44" s="12">
        <v>842.86</v>
      </c>
      <c r="I44" s="13">
        <f t="shared" si="2"/>
        <v>31185.82</v>
      </c>
      <c r="J44" s="14">
        <v>900</v>
      </c>
      <c r="K44" s="13">
        <f t="shared" si="3"/>
        <v>33300</v>
      </c>
      <c r="L44" s="11">
        <f>G44-'18'!D44</f>
        <v>5</v>
      </c>
      <c r="M44" s="13">
        <f t="shared" si="4"/>
        <v>4500</v>
      </c>
    </row>
    <row r="45" spans="1:13">
      <c r="A45" s="7" t="s">
        <v>41</v>
      </c>
      <c r="B45" s="7" t="s">
        <v>19</v>
      </c>
      <c r="C45" s="9">
        <v>40</v>
      </c>
      <c r="D45" s="10"/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f>G45-'18'!D45</f>
        <v>0</v>
      </c>
      <c r="M45" s="13">
        <f t="shared" si="4"/>
        <v>0</v>
      </c>
    </row>
    <row r="46" spans="1:13">
      <c r="A46" s="7" t="s">
        <v>41</v>
      </c>
      <c r="B46" s="7" t="s">
        <v>20</v>
      </c>
      <c r="C46" s="9">
        <v>40</v>
      </c>
      <c r="D46" s="10"/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f>G46-'18'!D46</f>
        <v>0</v>
      </c>
      <c r="M46" s="13">
        <f t="shared" si="4"/>
        <v>0</v>
      </c>
    </row>
    <row r="47" spans="1:13">
      <c r="A47" s="7" t="s">
        <v>41</v>
      </c>
      <c r="B47" s="7" t="s">
        <v>21</v>
      </c>
      <c r="C47" s="9">
        <v>40</v>
      </c>
      <c r="D47" s="10"/>
      <c r="E47" s="10"/>
      <c r="F47" s="9">
        <f t="shared" si="0"/>
        <v>0</v>
      </c>
      <c r="G47" s="11">
        <f t="shared" si="1"/>
        <v>0</v>
      </c>
      <c r="H47" s="12">
        <v>839.68</v>
      </c>
      <c r="I47" s="13">
        <f t="shared" si="2"/>
        <v>0</v>
      </c>
      <c r="J47" s="14">
        <v>900</v>
      </c>
      <c r="K47" s="13">
        <f t="shared" si="3"/>
        <v>0</v>
      </c>
      <c r="L47" s="11">
        <f>G47-'18'!D47</f>
        <v>0</v>
      </c>
      <c r="M47" s="13">
        <f t="shared" si="4"/>
        <v>0</v>
      </c>
    </row>
    <row r="48" spans="1:13">
      <c r="A48" s="7" t="s">
        <v>42</v>
      </c>
      <c r="B48" s="7" t="s">
        <v>29</v>
      </c>
      <c r="C48" s="9">
        <v>18</v>
      </c>
      <c r="D48" s="10">
        <v>6</v>
      </c>
      <c r="E48" s="10"/>
      <c r="F48" s="9">
        <f t="shared" si="0"/>
        <v>0</v>
      </c>
      <c r="G48" s="11">
        <f t="shared" si="1"/>
        <v>6</v>
      </c>
      <c r="H48" s="12">
        <v>375.68</v>
      </c>
      <c r="I48" s="13">
        <f t="shared" si="2"/>
        <v>2254.08</v>
      </c>
      <c r="J48" s="14">
        <v>400</v>
      </c>
      <c r="K48" s="13">
        <f t="shared" si="3"/>
        <v>2400</v>
      </c>
      <c r="L48" s="11">
        <f>G48-'18'!D48</f>
        <v>5</v>
      </c>
      <c r="M48" s="13">
        <f t="shared" si="4"/>
        <v>2000</v>
      </c>
    </row>
    <row r="49" spans="1:13">
      <c r="A49" s="7" t="s">
        <v>54</v>
      </c>
      <c r="B49" s="7" t="s">
        <v>44</v>
      </c>
      <c r="C49" s="9">
        <v>50</v>
      </c>
      <c r="D49" s="11"/>
      <c r="E49" s="11"/>
      <c r="F49" s="9">
        <f t="shared" si="0"/>
        <v>0</v>
      </c>
      <c r="G49" s="11">
        <f t="shared" si="1"/>
        <v>0</v>
      </c>
      <c r="H49" s="12">
        <v>670.32</v>
      </c>
      <c r="I49" s="13">
        <f t="shared" si="2"/>
        <v>0</v>
      </c>
      <c r="J49" s="14">
        <v>710</v>
      </c>
      <c r="K49" s="13">
        <f t="shared" si="3"/>
        <v>0</v>
      </c>
      <c r="L49" s="11">
        <f>G49-'18'!D49</f>
        <v>0</v>
      </c>
      <c r="M49" s="13">
        <f t="shared" si="4"/>
        <v>0</v>
      </c>
    </row>
    <row r="50" spans="1:13">
      <c r="A50" s="7" t="s">
        <v>43</v>
      </c>
      <c r="B50" s="7" t="s">
        <v>17</v>
      </c>
      <c r="C50" s="9">
        <v>50</v>
      </c>
      <c r="D50" s="10">
        <v>63</v>
      </c>
      <c r="E50" s="10"/>
      <c r="F50" s="9">
        <f t="shared" si="0"/>
        <v>0</v>
      </c>
      <c r="G50" s="11">
        <f t="shared" si="1"/>
        <v>63</v>
      </c>
      <c r="H50" s="12">
        <v>661.22</v>
      </c>
      <c r="I50" s="13">
        <f t="shared" si="2"/>
        <v>41656.86</v>
      </c>
      <c r="J50" s="14">
        <v>710</v>
      </c>
      <c r="K50" s="13">
        <f t="shared" si="3"/>
        <v>44730</v>
      </c>
      <c r="L50" s="11">
        <f>G50-'18'!D50</f>
        <v>21</v>
      </c>
      <c r="M50" s="13">
        <f t="shared" si="4"/>
        <v>14910</v>
      </c>
    </row>
    <row r="51" spans="1:13">
      <c r="A51" s="7" t="s">
        <v>43</v>
      </c>
      <c r="B51" s="7" t="s">
        <v>18</v>
      </c>
      <c r="C51" s="9">
        <v>50</v>
      </c>
      <c r="D51" s="10">
        <v>34</v>
      </c>
      <c r="E51" s="10"/>
      <c r="F51" s="9">
        <f t="shared" si="0"/>
        <v>0</v>
      </c>
      <c r="G51" s="11">
        <f t="shared" si="1"/>
        <v>34</v>
      </c>
      <c r="H51" s="12">
        <v>661.22</v>
      </c>
      <c r="I51" s="13">
        <f t="shared" si="2"/>
        <v>22481.48</v>
      </c>
      <c r="J51" s="14">
        <v>710</v>
      </c>
      <c r="K51" s="13">
        <f t="shared" si="3"/>
        <v>24140</v>
      </c>
      <c r="L51" s="11">
        <f>G51-'18'!D51</f>
        <v>13</v>
      </c>
      <c r="M51" s="13">
        <f t="shared" si="4"/>
        <v>9230</v>
      </c>
    </row>
    <row r="52" spans="1:13">
      <c r="A52" s="7" t="s">
        <v>43</v>
      </c>
      <c r="B52" s="7" t="s">
        <v>19</v>
      </c>
      <c r="C52" s="9">
        <v>50</v>
      </c>
      <c r="D52" s="10"/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f>G52-'18'!D52</f>
        <v>0</v>
      </c>
      <c r="M52" s="13">
        <f t="shared" si="4"/>
        <v>0</v>
      </c>
    </row>
    <row r="53" spans="1:13">
      <c r="A53" s="7" t="s">
        <v>43</v>
      </c>
      <c r="B53" s="7" t="s">
        <v>20</v>
      </c>
      <c r="C53" s="9">
        <v>50</v>
      </c>
      <c r="D53" s="10"/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f>G53-'18'!D53</f>
        <v>0</v>
      </c>
      <c r="M53" s="13">
        <f t="shared" si="4"/>
        <v>0</v>
      </c>
    </row>
    <row r="54" spans="1:13">
      <c r="A54" s="7" t="s">
        <v>43</v>
      </c>
      <c r="B54" s="7" t="s">
        <v>21</v>
      </c>
      <c r="C54" s="9">
        <v>50</v>
      </c>
      <c r="D54" s="10"/>
      <c r="E54" s="10"/>
      <c r="F54" s="9">
        <f t="shared" si="0"/>
        <v>0</v>
      </c>
      <c r="G54" s="11">
        <f t="shared" si="1"/>
        <v>0</v>
      </c>
      <c r="H54" s="12">
        <v>661.22</v>
      </c>
      <c r="I54" s="13">
        <f t="shared" si="2"/>
        <v>0</v>
      </c>
      <c r="J54" s="14">
        <v>710</v>
      </c>
      <c r="K54" s="13">
        <f t="shared" si="3"/>
        <v>0</v>
      </c>
      <c r="L54" s="11">
        <f>G54-'18'!D54</f>
        <v>0</v>
      </c>
      <c r="M54" s="13">
        <f t="shared" si="4"/>
        <v>0</v>
      </c>
    </row>
    <row r="55" spans="1:13">
      <c r="A55" s="7" t="s">
        <v>43</v>
      </c>
      <c r="B55" s="7" t="s">
        <v>44</v>
      </c>
      <c r="C55" s="9">
        <v>85</v>
      </c>
      <c r="D55" s="10">
        <v>3</v>
      </c>
      <c r="E55" s="10"/>
      <c r="F55" s="9">
        <f t="shared" si="0"/>
        <v>0</v>
      </c>
      <c r="G55" s="11">
        <f t="shared" si="1"/>
        <v>3</v>
      </c>
      <c r="H55" s="12">
        <v>797.07</v>
      </c>
      <c r="I55" s="13">
        <f t="shared" si="2"/>
        <v>2391.21</v>
      </c>
      <c r="J55" s="14">
        <v>845</v>
      </c>
      <c r="K55" s="13">
        <f t="shared" si="3"/>
        <v>2535</v>
      </c>
      <c r="L55" s="11">
        <f>G55-'18'!D55</f>
        <v>0</v>
      </c>
      <c r="M55" s="13">
        <f t="shared" si="4"/>
        <v>0</v>
      </c>
    </row>
    <row r="56" spans="1:13">
      <c r="A56" s="7" t="s">
        <v>45</v>
      </c>
      <c r="B56" s="7" t="s">
        <v>35</v>
      </c>
      <c r="C56" s="9">
        <v>18</v>
      </c>
      <c r="D56" s="10">
        <v>828</v>
      </c>
      <c r="E56" s="10"/>
      <c r="F56" s="9">
        <f t="shared" si="0"/>
        <v>0</v>
      </c>
      <c r="G56" s="11">
        <f t="shared" si="1"/>
        <v>828</v>
      </c>
      <c r="H56" s="12">
        <v>160.77000000000001</v>
      </c>
      <c r="I56" s="13">
        <f t="shared" si="2"/>
        <v>133117.56</v>
      </c>
      <c r="J56" s="14">
        <v>175</v>
      </c>
      <c r="K56" s="13">
        <f t="shared" si="3"/>
        <v>144900</v>
      </c>
      <c r="L56" s="11">
        <f>G56-'18'!D56</f>
        <v>144</v>
      </c>
      <c r="M56" s="13">
        <f t="shared" si="4"/>
        <v>25200</v>
      </c>
    </row>
    <row r="57" spans="1:13">
      <c r="A57" s="7" t="s">
        <v>46</v>
      </c>
      <c r="B57" s="7" t="s">
        <v>13</v>
      </c>
      <c r="C57" s="9">
        <v>70</v>
      </c>
      <c r="D57" s="10">
        <v>13</v>
      </c>
      <c r="E57" s="10"/>
      <c r="F57" s="9">
        <f t="shared" si="0"/>
        <v>0</v>
      </c>
      <c r="G57" s="11">
        <f t="shared" si="1"/>
        <v>13</v>
      </c>
      <c r="H57" s="12">
        <v>744.99</v>
      </c>
      <c r="I57" s="13">
        <f t="shared" si="2"/>
        <v>9684.8700000000008</v>
      </c>
      <c r="J57" s="14">
        <v>790</v>
      </c>
      <c r="K57" s="13">
        <f t="shared" si="3"/>
        <v>10270</v>
      </c>
      <c r="L57" s="11">
        <f>G57-'18'!D57</f>
        <v>4</v>
      </c>
      <c r="M57" s="13">
        <f t="shared" si="4"/>
        <v>3160</v>
      </c>
    </row>
    <row r="58" spans="1:13">
      <c r="A58" s="7" t="s">
        <v>47</v>
      </c>
      <c r="B58" s="7" t="s">
        <v>29</v>
      </c>
      <c r="C58" s="9">
        <v>30</v>
      </c>
      <c r="D58" s="10"/>
      <c r="E58" s="10"/>
      <c r="F58" s="9">
        <f t="shared" si="0"/>
        <v>0</v>
      </c>
      <c r="G58" s="11">
        <f t="shared" si="1"/>
        <v>0</v>
      </c>
      <c r="H58" s="12">
        <v>316.14999999999998</v>
      </c>
      <c r="I58" s="13">
        <f t="shared" si="2"/>
        <v>0</v>
      </c>
      <c r="J58" s="14">
        <v>336</v>
      </c>
      <c r="K58" s="13">
        <f t="shared" si="3"/>
        <v>0</v>
      </c>
      <c r="L58" s="11">
        <f>G58-'18'!D58</f>
        <v>0</v>
      </c>
      <c r="M58" s="13">
        <f t="shared" si="4"/>
        <v>0</v>
      </c>
    </row>
    <row r="59" spans="1:13">
      <c r="A59" s="7" t="s">
        <v>48</v>
      </c>
      <c r="B59" s="7" t="s">
        <v>13</v>
      </c>
      <c r="C59" s="9">
        <v>95</v>
      </c>
      <c r="D59" s="10">
        <v>15</v>
      </c>
      <c r="E59" s="10"/>
      <c r="F59" s="9">
        <f t="shared" si="0"/>
        <v>0</v>
      </c>
      <c r="G59" s="11">
        <f t="shared" si="1"/>
        <v>15</v>
      </c>
      <c r="H59" s="12">
        <v>1042.9000000000001</v>
      </c>
      <c r="I59" s="13">
        <f t="shared" si="2"/>
        <v>15643.500000000002</v>
      </c>
      <c r="J59" s="14">
        <v>1105</v>
      </c>
      <c r="K59" s="13">
        <f t="shared" si="3"/>
        <v>16575</v>
      </c>
      <c r="L59" s="11">
        <f>G59-'18'!D59</f>
        <v>4</v>
      </c>
      <c r="M59" s="13">
        <f t="shared" si="4"/>
        <v>4420</v>
      </c>
    </row>
    <row r="60" spans="1:13">
      <c r="A60" s="7" t="s">
        <v>49</v>
      </c>
      <c r="B60" s="7" t="s">
        <v>35</v>
      </c>
      <c r="C60" s="9">
        <v>28</v>
      </c>
      <c r="D60" s="10">
        <v>24</v>
      </c>
      <c r="E60" s="10"/>
      <c r="F60" s="9">
        <f t="shared" si="0"/>
        <v>0</v>
      </c>
      <c r="G60" s="11">
        <f t="shared" si="1"/>
        <v>24</v>
      </c>
      <c r="H60" s="12">
        <v>165.06</v>
      </c>
      <c r="I60" s="13">
        <f t="shared" si="2"/>
        <v>3961.44</v>
      </c>
      <c r="J60" s="14">
        <v>180</v>
      </c>
      <c r="K60" s="13">
        <f t="shared" si="3"/>
        <v>4320</v>
      </c>
      <c r="L60" s="11">
        <f>G60-'18'!D60</f>
        <v>4</v>
      </c>
      <c r="M60" s="13">
        <f t="shared" si="4"/>
        <v>720</v>
      </c>
    </row>
    <row r="61" spans="1:13">
      <c r="A61" s="7" t="s">
        <v>50</v>
      </c>
      <c r="B61" s="7" t="s">
        <v>17</v>
      </c>
      <c r="C61" s="9">
        <v>70</v>
      </c>
      <c r="D61" s="10"/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f>G61-'18'!D61</f>
        <v>0</v>
      </c>
      <c r="M61" s="13">
        <f t="shared" si="4"/>
        <v>0</v>
      </c>
    </row>
    <row r="62" spans="1:13">
      <c r="A62" s="7" t="s">
        <v>50</v>
      </c>
      <c r="B62" s="7" t="s">
        <v>18</v>
      </c>
      <c r="C62" s="9">
        <v>70</v>
      </c>
      <c r="D62" s="10"/>
      <c r="E62" s="10"/>
      <c r="F62" s="9">
        <f t="shared" si="0"/>
        <v>0</v>
      </c>
      <c r="G62" s="11">
        <f t="shared" si="1"/>
        <v>0</v>
      </c>
      <c r="H62" s="12">
        <v>721.25</v>
      </c>
      <c r="I62" s="13">
        <f t="shared" si="2"/>
        <v>0</v>
      </c>
      <c r="J62" s="14">
        <v>771</v>
      </c>
      <c r="K62" s="13">
        <f t="shared" si="3"/>
        <v>0</v>
      </c>
      <c r="L62" s="11">
        <f>G62-'18'!D62</f>
        <v>0</v>
      </c>
      <c r="M62" s="13">
        <f t="shared" si="4"/>
        <v>0</v>
      </c>
    </row>
    <row r="63" spans="1:13">
      <c r="A63" s="7" t="s">
        <v>51</v>
      </c>
      <c r="B63" s="7" t="s">
        <v>17</v>
      </c>
      <c r="C63" s="9">
        <v>100</v>
      </c>
      <c r="D63" s="10">
        <v>279</v>
      </c>
      <c r="E63" s="10"/>
      <c r="F63" s="9">
        <f t="shared" si="0"/>
        <v>0</v>
      </c>
      <c r="G63" s="11">
        <f t="shared" si="1"/>
        <v>279</v>
      </c>
      <c r="H63" s="12">
        <v>790.89</v>
      </c>
      <c r="I63" s="13">
        <f t="shared" si="2"/>
        <v>220658.31</v>
      </c>
      <c r="J63" s="14">
        <v>845</v>
      </c>
      <c r="K63" s="13">
        <f t="shared" si="3"/>
        <v>235755</v>
      </c>
      <c r="L63" s="11">
        <f>G63-'18'!D63</f>
        <v>47</v>
      </c>
      <c r="M63" s="13">
        <f t="shared" si="4"/>
        <v>39715</v>
      </c>
    </row>
    <row r="64" spans="1:13">
      <c r="A64" s="7" t="s">
        <v>51</v>
      </c>
      <c r="B64" s="7" t="s">
        <v>18</v>
      </c>
      <c r="C64" s="9">
        <v>100</v>
      </c>
      <c r="D64" s="10">
        <v>127</v>
      </c>
      <c r="E64" s="10"/>
      <c r="F64" s="9">
        <f t="shared" si="0"/>
        <v>0</v>
      </c>
      <c r="G64" s="11">
        <f t="shared" si="1"/>
        <v>127</v>
      </c>
      <c r="H64" s="12">
        <v>790.89</v>
      </c>
      <c r="I64" s="13">
        <f t="shared" si="2"/>
        <v>100443.03</v>
      </c>
      <c r="J64" s="14">
        <v>845</v>
      </c>
      <c r="K64" s="13">
        <f t="shared" si="3"/>
        <v>107315</v>
      </c>
      <c r="L64" s="11">
        <f>G64-'18'!D64</f>
        <v>33</v>
      </c>
      <c r="M64" s="13">
        <f t="shared" si="4"/>
        <v>27885</v>
      </c>
    </row>
    <row r="65" spans="1:13">
      <c r="A65" s="7" t="s">
        <v>51</v>
      </c>
      <c r="B65" s="7" t="s">
        <v>19</v>
      </c>
      <c r="C65" s="9">
        <v>100</v>
      </c>
      <c r="D65" s="10"/>
      <c r="E65" s="10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f>G65-'18'!D65</f>
        <v>0</v>
      </c>
      <c r="M65" s="13">
        <f t="shared" si="4"/>
        <v>0</v>
      </c>
    </row>
    <row r="66" spans="1:13">
      <c r="A66" s="7" t="s">
        <v>51</v>
      </c>
      <c r="B66" s="7" t="s">
        <v>20</v>
      </c>
      <c r="C66" s="9">
        <v>100</v>
      </c>
      <c r="D66" s="10"/>
      <c r="E66" s="11"/>
      <c r="F66" s="9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f>G66-'18'!D66</f>
        <v>0</v>
      </c>
      <c r="M66" s="13">
        <f t="shared" si="4"/>
        <v>0</v>
      </c>
    </row>
    <row r="67" spans="1:13">
      <c r="A67" s="7" t="s">
        <v>51</v>
      </c>
      <c r="B67" s="7" t="s">
        <v>21</v>
      </c>
      <c r="C67" s="9">
        <v>100</v>
      </c>
      <c r="D67" s="10"/>
      <c r="E67" s="11"/>
      <c r="F67" s="15">
        <f t="shared" si="0"/>
        <v>0</v>
      </c>
      <c r="G67" s="11">
        <f t="shared" si="1"/>
        <v>0</v>
      </c>
      <c r="H67" s="12">
        <v>790.89</v>
      </c>
      <c r="I67" s="13">
        <f t="shared" si="2"/>
        <v>0</v>
      </c>
      <c r="J67" s="14">
        <v>845</v>
      </c>
      <c r="K67" s="13">
        <f t="shared" si="3"/>
        <v>0</v>
      </c>
      <c r="L67" s="11">
        <f>G67-'18'!D67</f>
        <v>0</v>
      </c>
      <c r="M67" s="13">
        <f t="shared" si="4"/>
        <v>0</v>
      </c>
    </row>
    <row r="68" spans="1:13">
      <c r="A68" s="35" t="s">
        <v>52</v>
      </c>
      <c r="B68" s="36"/>
      <c r="C68" s="37"/>
      <c r="D68" s="16">
        <f>SUM(D2:D67)</f>
        <v>3940</v>
      </c>
      <c r="E68" s="17">
        <f>SUM(E2:E67)</f>
        <v>0</v>
      </c>
      <c r="F68" s="18">
        <f>SUM(F2:F67)</f>
        <v>0</v>
      </c>
      <c r="G68" s="17">
        <f>SUM(G2:G67)</f>
        <v>3940</v>
      </c>
      <c r="H68" s="19"/>
      <c r="I68" s="20">
        <f>SUM(I2:I67)</f>
        <v>1729271.05</v>
      </c>
      <c r="J68" s="21">
        <f>SUM(J2:J67)</f>
        <v>41132</v>
      </c>
      <c r="K68" s="22">
        <f>SUM(K2:K67)</f>
        <v>1849494</v>
      </c>
      <c r="L68" s="23">
        <f>SUM(L2:L67)</f>
        <v>698</v>
      </c>
      <c r="M68" s="24">
        <f>SUM(M2:M67)</f>
        <v>365485</v>
      </c>
    </row>
    <row r="71" spans="1:13">
      <c r="F71" s="31"/>
    </row>
    <row r="74" spans="1:13">
      <c r="I74" s="33"/>
      <c r="J74" s="32"/>
      <c r="K74" s="33"/>
    </row>
    <row r="75" spans="1:13">
      <c r="I75" s="33"/>
      <c r="J75" s="32"/>
      <c r="K75" s="33"/>
    </row>
    <row r="76" spans="1:13">
      <c r="I76" s="33"/>
      <c r="J76" s="29"/>
      <c r="K76" s="30"/>
    </row>
    <row r="77" spans="1:13">
      <c r="D77" s="25" t="s">
        <v>53</v>
      </c>
      <c r="I77" s="33"/>
      <c r="J77" s="34"/>
      <c r="K77" s="34"/>
    </row>
    <row r="78" spans="1:13"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  <c r="I80" s="33"/>
      <c r="J80" s="32"/>
      <c r="K80" s="33"/>
    </row>
    <row r="81" spans="6:6">
      <c r="F81" s="26"/>
    </row>
  </sheetData>
  <mergeCells count="1">
    <mergeCell ref="A68:C6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81"/>
  <sheetViews>
    <sheetView topLeftCell="A52" workbookViewId="0">
      <selection activeCell="H72" sqref="H72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307</v>
      </c>
      <c r="E2" s="11"/>
      <c r="F2" s="9">
        <f>E2*H2</f>
        <v>0</v>
      </c>
      <c r="G2" s="11">
        <f>D2+E2</f>
        <v>307</v>
      </c>
      <c r="H2" s="12">
        <v>308.13</v>
      </c>
      <c r="I2" s="13">
        <f>H2*D2</f>
        <v>94595.91</v>
      </c>
      <c r="J2" s="14">
        <v>326</v>
      </c>
      <c r="K2" s="13">
        <f>J2*D2</f>
        <v>100082</v>
      </c>
      <c r="L2" s="11">
        <v>0</v>
      </c>
      <c r="M2" s="13">
        <f>L2*J2</f>
        <v>0</v>
      </c>
    </row>
    <row r="3" spans="1:13">
      <c r="A3" s="7" t="s">
        <v>12</v>
      </c>
      <c r="B3" s="8" t="s">
        <v>14</v>
      </c>
      <c r="C3" s="9">
        <v>9</v>
      </c>
      <c r="D3" s="10">
        <v>77</v>
      </c>
      <c r="E3" s="11"/>
      <c r="F3" s="9">
        <f t="shared" ref="F3:F67" si="0">E3*H3</f>
        <v>0</v>
      </c>
      <c r="G3" s="11">
        <f t="shared" ref="G3:G67" si="1">D3+E3</f>
        <v>77</v>
      </c>
      <c r="H3" s="12">
        <v>308.19</v>
      </c>
      <c r="I3" s="13">
        <f t="shared" ref="I3:I67" si="2">H3*D3</f>
        <v>23730.63</v>
      </c>
      <c r="J3" s="14">
        <v>326</v>
      </c>
      <c r="K3" s="13">
        <f t="shared" ref="K3:K67" si="3">J3*D3</f>
        <v>25102</v>
      </c>
      <c r="L3" s="11">
        <v>0</v>
      </c>
      <c r="M3" s="13">
        <f t="shared" ref="M3:M67" si="4">L3*J3</f>
        <v>0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167</v>
      </c>
      <c r="E5" s="11">
        <v>72</v>
      </c>
      <c r="F5" s="9">
        <f t="shared" si="0"/>
        <v>12583.44</v>
      </c>
      <c r="G5" s="11">
        <f t="shared" si="1"/>
        <v>239</v>
      </c>
      <c r="H5" s="12">
        <v>174.77</v>
      </c>
      <c r="I5" s="13">
        <f t="shared" si="2"/>
        <v>29186.59</v>
      </c>
      <c r="J5" s="14">
        <v>192</v>
      </c>
      <c r="K5" s="13">
        <f t="shared" si="3"/>
        <v>32064</v>
      </c>
      <c r="L5" s="11">
        <v>0</v>
      </c>
      <c r="M5" s="13">
        <f t="shared" si="4"/>
        <v>0</v>
      </c>
    </row>
    <row r="6" spans="1:13">
      <c r="A6" s="7" t="s">
        <v>16</v>
      </c>
      <c r="B6" s="8" t="s">
        <v>18</v>
      </c>
      <c r="C6" s="9">
        <v>10</v>
      </c>
      <c r="D6" s="10">
        <v>175</v>
      </c>
      <c r="E6" s="11"/>
      <c r="F6" s="9">
        <f t="shared" si="0"/>
        <v>0</v>
      </c>
      <c r="G6" s="11">
        <f t="shared" si="1"/>
        <v>175</v>
      </c>
      <c r="H6" s="12">
        <v>174.77</v>
      </c>
      <c r="I6" s="13">
        <f t="shared" si="2"/>
        <v>30584.75</v>
      </c>
      <c r="J6" s="14">
        <v>192</v>
      </c>
      <c r="K6" s="13">
        <f t="shared" si="3"/>
        <v>33600</v>
      </c>
      <c r="L6" s="11">
        <v>0</v>
      </c>
      <c r="M6" s="13">
        <f t="shared" si="4"/>
        <v>0</v>
      </c>
    </row>
    <row r="7" spans="1:13">
      <c r="A7" s="7" t="s">
        <v>16</v>
      </c>
      <c r="B7" s="8" t="s">
        <v>19</v>
      </c>
      <c r="C7" s="9">
        <v>10</v>
      </c>
      <c r="D7" s="10">
        <v>34</v>
      </c>
      <c r="E7" s="11"/>
      <c r="F7" s="9">
        <f t="shared" si="0"/>
        <v>0</v>
      </c>
      <c r="G7" s="11">
        <f t="shared" si="1"/>
        <v>34</v>
      </c>
      <c r="H7" s="12">
        <v>174.77</v>
      </c>
      <c r="I7" s="13">
        <f t="shared" si="2"/>
        <v>5942.18</v>
      </c>
      <c r="J7" s="14">
        <v>192</v>
      </c>
      <c r="K7" s="13">
        <f t="shared" si="3"/>
        <v>6528</v>
      </c>
      <c r="L7" s="11">
        <v>0</v>
      </c>
      <c r="M7" s="13">
        <f t="shared" si="4"/>
        <v>0</v>
      </c>
    </row>
    <row r="8" spans="1:13">
      <c r="A8" s="7" t="s">
        <v>16</v>
      </c>
      <c r="B8" s="8" t="s">
        <v>20</v>
      </c>
      <c r="C8" s="9">
        <v>10</v>
      </c>
      <c r="D8" s="10">
        <v>17</v>
      </c>
      <c r="E8" s="11">
        <v>72</v>
      </c>
      <c r="F8" s="9">
        <f t="shared" si="0"/>
        <v>12583.44</v>
      </c>
      <c r="G8" s="11">
        <f t="shared" si="1"/>
        <v>89</v>
      </c>
      <c r="H8" s="12">
        <v>174.77</v>
      </c>
      <c r="I8" s="13">
        <f t="shared" si="2"/>
        <v>2971.09</v>
      </c>
      <c r="J8" s="14">
        <v>192</v>
      </c>
      <c r="K8" s="13">
        <f t="shared" si="3"/>
        <v>3264</v>
      </c>
      <c r="L8" s="11">
        <v>0</v>
      </c>
      <c r="M8" s="13">
        <f t="shared" si="4"/>
        <v>0</v>
      </c>
    </row>
    <row r="9" spans="1:13">
      <c r="A9" s="7" t="s">
        <v>16</v>
      </c>
      <c r="B9" s="8" t="s">
        <v>21</v>
      </c>
      <c r="C9" s="9">
        <v>10</v>
      </c>
      <c r="D9" s="10">
        <v>123</v>
      </c>
      <c r="E9" s="11"/>
      <c r="F9" s="9">
        <f t="shared" si="0"/>
        <v>0</v>
      </c>
      <c r="G9" s="11">
        <f t="shared" si="1"/>
        <v>123</v>
      </c>
      <c r="H9" s="12">
        <v>174.77</v>
      </c>
      <c r="I9" s="13">
        <f t="shared" si="2"/>
        <v>21496.710000000003</v>
      </c>
      <c r="J9" s="14">
        <v>192</v>
      </c>
      <c r="K9" s="13">
        <f t="shared" si="3"/>
        <v>23616</v>
      </c>
      <c r="L9" s="11">
        <v>0</v>
      </c>
      <c r="M9" s="13">
        <f t="shared" si="4"/>
        <v>0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16</v>
      </c>
      <c r="E11" s="11"/>
      <c r="F11" s="9">
        <f t="shared" si="0"/>
        <v>0</v>
      </c>
      <c r="G11" s="11">
        <f t="shared" si="1"/>
        <v>16</v>
      </c>
      <c r="H11" s="12">
        <v>470.8</v>
      </c>
      <c r="I11" s="13">
        <f t="shared" si="2"/>
        <v>7532.8</v>
      </c>
      <c r="J11" s="14">
        <v>505</v>
      </c>
      <c r="K11" s="13">
        <f t="shared" si="3"/>
        <v>8080</v>
      </c>
      <c r="L11" s="11">
        <v>0</v>
      </c>
      <c r="M11" s="13">
        <f t="shared" si="4"/>
        <v>0</v>
      </c>
    </row>
    <row r="12" spans="1:13">
      <c r="A12" s="7" t="s">
        <v>22</v>
      </c>
      <c r="B12" s="8" t="s">
        <v>17</v>
      </c>
      <c r="C12" s="9">
        <v>20</v>
      </c>
      <c r="D12" s="10">
        <v>474</v>
      </c>
      <c r="E12" s="11"/>
      <c r="F12" s="9">
        <f>E12*H12</f>
        <v>0</v>
      </c>
      <c r="G12" s="11">
        <f t="shared" si="1"/>
        <v>474</v>
      </c>
      <c r="H12" s="12">
        <v>475.77</v>
      </c>
      <c r="I12" s="13">
        <f t="shared" si="2"/>
        <v>225514.97999999998</v>
      </c>
      <c r="J12" s="14">
        <v>505</v>
      </c>
      <c r="K12" s="13">
        <f t="shared" si="3"/>
        <v>239370</v>
      </c>
      <c r="L12" s="11">
        <v>0</v>
      </c>
      <c r="M12" s="13">
        <f t="shared" si="4"/>
        <v>0</v>
      </c>
    </row>
    <row r="13" spans="1:13">
      <c r="A13" s="7" t="s">
        <v>22</v>
      </c>
      <c r="B13" s="8" t="s">
        <v>18</v>
      </c>
      <c r="C13" s="9">
        <v>20</v>
      </c>
      <c r="D13" s="10">
        <v>99</v>
      </c>
      <c r="E13" s="11">
        <v>260</v>
      </c>
      <c r="F13" s="9">
        <f t="shared" si="0"/>
        <v>123700.2</v>
      </c>
      <c r="G13" s="11">
        <f t="shared" si="1"/>
        <v>359</v>
      </c>
      <c r="H13" s="12">
        <v>475.77</v>
      </c>
      <c r="I13" s="13">
        <f t="shared" si="2"/>
        <v>47101.229999999996</v>
      </c>
      <c r="J13" s="14">
        <v>505</v>
      </c>
      <c r="K13" s="13">
        <f t="shared" si="3"/>
        <v>49995</v>
      </c>
      <c r="L13" s="11">
        <v>0</v>
      </c>
      <c r="M13" s="13">
        <f t="shared" si="4"/>
        <v>0</v>
      </c>
    </row>
    <row r="14" spans="1:13">
      <c r="A14" s="7" t="s">
        <v>22</v>
      </c>
      <c r="B14" s="8" t="s">
        <v>19</v>
      </c>
      <c r="C14" s="9">
        <v>20</v>
      </c>
      <c r="D14" s="10">
        <v>26</v>
      </c>
      <c r="E14" s="11">
        <v>39</v>
      </c>
      <c r="F14" s="9">
        <f t="shared" si="0"/>
        <v>18361.2</v>
      </c>
      <c r="G14" s="11">
        <f t="shared" si="1"/>
        <v>65</v>
      </c>
      <c r="H14" s="12">
        <v>470.8</v>
      </c>
      <c r="I14" s="13">
        <f t="shared" si="2"/>
        <v>12240.800000000001</v>
      </c>
      <c r="J14" s="14">
        <v>505</v>
      </c>
      <c r="K14" s="13">
        <f t="shared" si="3"/>
        <v>13130</v>
      </c>
      <c r="L14" s="11">
        <v>0</v>
      </c>
      <c r="M14" s="13">
        <f t="shared" si="4"/>
        <v>0</v>
      </c>
    </row>
    <row r="15" spans="1:13">
      <c r="A15" s="7" t="s">
        <v>22</v>
      </c>
      <c r="B15" s="8" t="s">
        <v>20</v>
      </c>
      <c r="C15" s="9">
        <v>20</v>
      </c>
      <c r="D15" s="10">
        <v>26</v>
      </c>
      <c r="E15" s="11">
        <v>39</v>
      </c>
      <c r="F15" s="9">
        <f t="shared" si="0"/>
        <v>18361.2</v>
      </c>
      <c r="G15" s="11">
        <f t="shared" si="1"/>
        <v>65</v>
      </c>
      <c r="H15" s="12">
        <v>470.8</v>
      </c>
      <c r="I15" s="13">
        <f t="shared" si="2"/>
        <v>12240.800000000001</v>
      </c>
      <c r="J15" s="14">
        <v>505</v>
      </c>
      <c r="K15" s="13">
        <f t="shared" si="3"/>
        <v>13130</v>
      </c>
      <c r="L15" s="11">
        <v>0</v>
      </c>
      <c r="M15" s="13">
        <f t="shared" si="4"/>
        <v>0</v>
      </c>
    </row>
    <row r="16" spans="1:13">
      <c r="A16" s="7" t="s">
        <v>22</v>
      </c>
      <c r="B16" s="8" t="s">
        <v>21</v>
      </c>
      <c r="C16" s="9">
        <v>20</v>
      </c>
      <c r="D16" s="10">
        <v>0</v>
      </c>
      <c r="E16" s="11">
        <v>39</v>
      </c>
      <c r="F16" s="9">
        <f t="shared" si="0"/>
        <v>18361.2</v>
      </c>
      <c r="G16" s="11">
        <f t="shared" si="1"/>
        <v>39</v>
      </c>
      <c r="H16" s="12">
        <v>470.8</v>
      </c>
      <c r="I16" s="13">
        <f t="shared" si="2"/>
        <v>0</v>
      </c>
      <c r="J16" s="14">
        <v>505</v>
      </c>
      <c r="K16" s="13">
        <f t="shared" si="3"/>
        <v>0</v>
      </c>
      <c r="L16" s="11">
        <v>0</v>
      </c>
      <c r="M16" s="13">
        <f t="shared" si="4"/>
        <v>0</v>
      </c>
    </row>
    <row r="17" spans="1:13">
      <c r="A17" s="7" t="s">
        <v>22</v>
      </c>
      <c r="B17" s="8" t="s">
        <v>29</v>
      </c>
      <c r="C17" s="9">
        <v>11</v>
      </c>
      <c r="D17" s="10">
        <v>26</v>
      </c>
      <c r="E17" s="11">
        <v>130</v>
      </c>
      <c r="F17" s="9">
        <f t="shared" si="0"/>
        <v>30626.7</v>
      </c>
      <c r="G17" s="11">
        <f t="shared" si="1"/>
        <v>156</v>
      </c>
      <c r="H17" s="12">
        <v>235.59</v>
      </c>
      <c r="I17" s="13">
        <f t="shared" si="2"/>
        <v>6125.34</v>
      </c>
      <c r="J17" s="14">
        <v>250</v>
      </c>
      <c r="K17" s="13">
        <f t="shared" si="3"/>
        <v>6500</v>
      </c>
      <c r="L17" s="11">
        <v>0</v>
      </c>
      <c r="M17" s="13">
        <f t="shared" si="4"/>
        <v>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>
        <v>51</v>
      </c>
      <c r="E19" s="11"/>
      <c r="F19" s="9">
        <f t="shared" si="0"/>
        <v>0</v>
      </c>
      <c r="G19" s="11">
        <f t="shared" si="1"/>
        <v>51</v>
      </c>
      <c r="H19" s="12">
        <v>204</v>
      </c>
      <c r="I19" s="13">
        <f t="shared" si="2"/>
        <v>10404</v>
      </c>
      <c r="J19" s="14">
        <v>230</v>
      </c>
      <c r="K19" s="13">
        <f t="shared" si="3"/>
        <v>11730</v>
      </c>
      <c r="L19" s="11">
        <v>0</v>
      </c>
      <c r="M19" s="13">
        <f t="shared" si="4"/>
        <v>0</v>
      </c>
    </row>
    <row r="20" spans="1:13">
      <c r="A20" s="7" t="s">
        <v>22</v>
      </c>
      <c r="B20" s="8" t="s">
        <v>25</v>
      </c>
      <c r="C20" s="9">
        <v>10</v>
      </c>
      <c r="D20" s="10">
        <v>54</v>
      </c>
      <c r="E20" s="11"/>
      <c r="F20" s="9">
        <f t="shared" si="0"/>
        <v>0</v>
      </c>
      <c r="G20" s="11">
        <f t="shared" si="1"/>
        <v>54</v>
      </c>
      <c r="H20" s="12">
        <v>204</v>
      </c>
      <c r="I20" s="13">
        <f>H20*D20</f>
        <v>11016</v>
      </c>
      <c r="J20" s="14">
        <v>230</v>
      </c>
      <c r="K20" s="13">
        <f t="shared" si="3"/>
        <v>12420</v>
      </c>
      <c r="L20" s="11">
        <v>0</v>
      </c>
      <c r="M20" s="13">
        <f t="shared" si="4"/>
        <v>0</v>
      </c>
    </row>
    <row r="21" spans="1:13">
      <c r="A21" s="7" t="s">
        <v>22</v>
      </c>
      <c r="B21" s="8" t="s">
        <v>26</v>
      </c>
      <c r="C21" s="9">
        <v>10</v>
      </c>
      <c r="D21" s="10">
        <v>13</v>
      </c>
      <c r="E21" s="11"/>
      <c r="F21" s="9">
        <f t="shared" si="0"/>
        <v>0</v>
      </c>
      <c r="G21" s="11">
        <f t="shared" si="1"/>
        <v>13</v>
      </c>
      <c r="H21" s="12">
        <v>204</v>
      </c>
      <c r="I21" s="13">
        <f t="shared" si="2"/>
        <v>2652</v>
      </c>
      <c r="J21" s="14">
        <v>230</v>
      </c>
      <c r="K21" s="13">
        <f t="shared" si="3"/>
        <v>2990</v>
      </c>
      <c r="L21" s="11">
        <v>0</v>
      </c>
      <c r="M21" s="13">
        <f t="shared" si="4"/>
        <v>0</v>
      </c>
    </row>
    <row r="22" spans="1:13">
      <c r="A22" s="7" t="s">
        <v>22</v>
      </c>
      <c r="B22" s="8" t="s">
        <v>13</v>
      </c>
      <c r="C22" s="9">
        <v>19</v>
      </c>
      <c r="D22" s="10">
        <v>1</v>
      </c>
      <c r="E22" s="11">
        <v>36</v>
      </c>
      <c r="F22" s="9">
        <f t="shared" si="0"/>
        <v>17080.559999999998</v>
      </c>
      <c r="G22" s="11">
        <f t="shared" si="1"/>
        <v>37</v>
      </c>
      <c r="H22" s="12">
        <v>474.46</v>
      </c>
      <c r="I22" s="13">
        <f t="shared" si="2"/>
        <v>474.46</v>
      </c>
      <c r="J22" s="14">
        <v>505</v>
      </c>
      <c r="K22" s="13">
        <f t="shared" si="3"/>
        <v>505</v>
      </c>
      <c r="L22" s="11">
        <v>0</v>
      </c>
      <c r="M22" s="13">
        <f t="shared" si="4"/>
        <v>0</v>
      </c>
    </row>
    <row r="23" spans="1:13">
      <c r="A23" s="7" t="s">
        <v>22</v>
      </c>
      <c r="B23" s="8" t="s">
        <v>27</v>
      </c>
      <c r="C23" s="9">
        <v>24</v>
      </c>
      <c r="D23" s="10">
        <v>14</v>
      </c>
      <c r="E23" s="11">
        <v>12</v>
      </c>
      <c r="F23" s="9">
        <f t="shared" si="0"/>
        <v>7127.0399999999991</v>
      </c>
      <c r="G23" s="11">
        <f t="shared" si="1"/>
        <v>26</v>
      </c>
      <c r="H23" s="12">
        <v>593.91999999999996</v>
      </c>
      <c r="I23" s="13">
        <f t="shared" si="2"/>
        <v>8314.8799999999992</v>
      </c>
      <c r="J23" s="14">
        <v>630</v>
      </c>
      <c r="K23" s="13">
        <f t="shared" si="3"/>
        <v>8820</v>
      </c>
      <c r="L23" s="11">
        <v>0</v>
      </c>
      <c r="M23" s="13">
        <f t="shared" si="4"/>
        <v>0</v>
      </c>
    </row>
    <row r="24" spans="1:13">
      <c r="A24" s="7" t="s">
        <v>30</v>
      </c>
      <c r="B24" s="8" t="s">
        <v>17</v>
      </c>
      <c r="C24" s="9">
        <v>25</v>
      </c>
      <c r="D24" s="10">
        <v>31</v>
      </c>
      <c r="E24" s="10">
        <v>54</v>
      </c>
      <c r="F24" s="9">
        <f t="shared" si="0"/>
        <v>24478.2</v>
      </c>
      <c r="G24" s="11">
        <f t="shared" si="1"/>
        <v>85</v>
      </c>
      <c r="H24" s="12">
        <v>453.3</v>
      </c>
      <c r="I24" s="13">
        <f t="shared" si="2"/>
        <v>14052.300000000001</v>
      </c>
      <c r="J24" s="14">
        <v>493</v>
      </c>
      <c r="K24" s="13">
        <f t="shared" si="3"/>
        <v>15283</v>
      </c>
      <c r="L24" s="11">
        <v>0</v>
      </c>
      <c r="M24" s="13">
        <f t="shared" si="4"/>
        <v>0</v>
      </c>
    </row>
    <row r="25" spans="1:13">
      <c r="A25" s="7" t="s">
        <v>30</v>
      </c>
      <c r="B25" s="8" t="s">
        <v>18</v>
      </c>
      <c r="C25" s="9">
        <v>25</v>
      </c>
      <c r="D25" s="10"/>
      <c r="E25" s="10">
        <v>54</v>
      </c>
      <c r="F25" s="9">
        <f t="shared" si="0"/>
        <v>24478.2</v>
      </c>
      <c r="G25" s="11">
        <f t="shared" si="1"/>
        <v>54</v>
      </c>
      <c r="H25" s="12">
        <v>453.3</v>
      </c>
      <c r="I25" s="13">
        <f t="shared" si="2"/>
        <v>0</v>
      </c>
      <c r="J25" s="14">
        <v>493</v>
      </c>
      <c r="K25" s="13">
        <f t="shared" si="3"/>
        <v>0</v>
      </c>
      <c r="L25" s="11">
        <v>0</v>
      </c>
      <c r="M25" s="13">
        <f t="shared" si="4"/>
        <v>0</v>
      </c>
    </row>
    <row r="26" spans="1:13">
      <c r="A26" s="7" t="s">
        <v>55</v>
      </c>
      <c r="B26" s="7" t="s">
        <v>17</v>
      </c>
      <c r="C26" s="9">
        <v>70</v>
      </c>
      <c r="D26" s="10"/>
      <c r="E26" s="10"/>
      <c r="F26" s="9">
        <f t="shared" si="0"/>
        <v>0</v>
      </c>
      <c r="G26" s="11">
        <f t="shared" si="1"/>
        <v>0</v>
      </c>
      <c r="H26" s="12">
        <v>959.04</v>
      </c>
      <c r="I26" s="13">
        <f t="shared" si="2"/>
        <v>0</v>
      </c>
      <c r="J26" s="14">
        <v>1010</v>
      </c>
      <c r="K26" s="13">
        <f t="shared" si="3"/>
        <v>0</v>
      </c>
      <c r="L26" s="11">
        <v>0</v>
      </c>
      <c r="M26" s="13">
        <f t="shared" si="4"/>
        <v>0</v>
      </c>
    </row>
    <row r="27" spans="1:13">
      <c r="A27" s="7" t="s">
        <v>55</v>
      </c>
      <c r="B27" s="8" t="s">
        <v>18</v>
      </c>
      <c r="C27" s="9">
        <v>70</v>
      </c>
      <c r="D27" s="10"/>
      <c r="E27" s="10"/>
      <c r="F27" s="9">
        <f t="shared" si="0"/>
        <v>0</v>
      </c>
      <c r="G27" s="11">
        <f t="shared" si="1"/>
        <v>0</v>
      </c>
      <c r="H27" s="12">
        <v>959.04</v>
      </c>
      <c r="I27" s="13">
        <f t="shared" si="2"/>
        <v>0</v>
      </c>
      <c r="J27" s="14">
        <v>1010</v>
      </c>
      <c r="K27" s="13">
        <f t="shared" si="3"/>
        <v>0</v>
      </c>
      <c r="L27" s="11">
        <v>0</v>
      </c>
      <c r="M27" s="13">
        <f t="shared" si="4"/>
        <v>0</v>
      </c>
    </row>
    <row r="28" spans="1:13">
      <c r="A28" s="7" t="s">
        <v>55</v>
      </c>
      <c r="B28" s="8" t="s">
        <v>21</v>
      </c>
      <c r="C28" s="9">
        <v>70</v>
      </c>
      <c r="D28" s="10"/>
      <c r="E28" s="10"/>
      <c r="F28" s="9">
        <f t="shared" si="0"/>
        <v>0</v>
      </c>
      <c r="G28" s="11">
        <f t="shared" si="1"/>
        <v>0</v>
      </c>
      <c r="H28" s="12">
        <v>959.04</v>
      </c>
      <c r="I28" s="13">
        <f t="shared" si="2"/>
        <v>0</v>
      </c>
      <c r="J28" s="14">
        <v>1010</v>
      </c>
      <c r="K28" s="13">
        <f t="shared" si="3"/>
        <v>0</v>
      </c>
      <c r="L28" s="11">
        <v>0</v>
      </c>
      <c r="M28" s="13">
        <f t="shared" si="4"/>
        <v>0</v>
      </c>
    </row>
    <row r="29" spans="1:13">
      <c r="A29" s="7" t="s">
        <v>31</v>
      </c>
      <c r="B29" s="7" t="s">
        <v>17</v>
      </c>
      <c r="C29" s="9">
        <v>40</v>
      </c>
      <c r="D29" s="10"/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v>0</v>
      </c>
      <c r="M29" s="13">
        <f t="shared" si="4"/>
        <v>0</v>
      </c>
    </row>
    <row r="30" spans="1:13">
      <c r="A30" s="7" t="s">
        <v>31</v>
      </c>
      <c r="B30" s="7" t="s">
        <v>18</v>
      </c>
      <c r="C30" s="9">
        <v>40</v>
      </c>
      <c r="D30" s="10"/>
      <c r="E30" s="10"/>
      <c r="F30" s="9">
        <f t="shared" si="0"/>
        <v>0</v>
      </c>
      <c r="G30" s="11">
        <f t="shared" si="1"/>
        <v>0</v>
      </c>
      <c r="H30" s="12">
        <v>821.36</v>
      </c>
      <c r="I30" s="13">
        <f t="shared" si="2"/>
        <v>0</v>
      </c>
      <c r="J30" s="14">
        <v>878</v>
      </c>
      <c r="K30" s="13">
        <f t="shared" si="3"/>
        <v>0</v>
      </c>
      <c r="L30" s="11">
        <v>0</v>
      </c>
      <c r="M30" s="13">
        <f t="shared" si="4"/>
        <v>0</v>
      </c>
    </row>
    <row r="31" spans="1:13">
      <c r="A31" s="7" t="s">
        <v>31</v>
      </c>
      <c r="B31" s="7" t="s">
        <v>19</v>
      </c>
      <c r="C31" s="9">
        <v>40</v>
      </c>
      <c r="D31" s="10"/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v>0</v>
      </c>
      <c r="M31" s="13">
        <f t="shared" si="4"/>
        <v>0</v>
      </c>
    </row>
    <row r="32" spans="1:13">
      <c r="A32" s="7" t="s">
        <v>31</v>
      </c>
      <c r="B32" s="7" t="s">
        <v>20</v>
      </c>
      <c r="C32" s="9">
        <v>40</v>
      </c>
      <c r="D32" s="10"/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v>0</v>
      </c>
      <c r="M32" s="13">
        <f t="shared" si="4"/>
        <v>0</v>
      </c>
    </row>
    <row r="33" spans="1:13">
      <c r="A33" s="7" t="s">
        <v>31</v>
      </c>
      <c r="B33" s="7" t="s">
        <v>21</v>
      </c>
      <c r="C33" s="9">
        <v>40</v>
      </c>
      <c r="D33" s="10"/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v>0</v>
      </c>
      <c r="M33" s="13">
        <f t="shared" si="4"/>
        <v>0</v>
      </c>
    </row>
    <row r="34" spans="1:13">
      <c r="A34" s="7" t="s">
        <v>31</v>
      </c>
      <c r="B34" s="7" t="s">
        <v>32</v>
      </c>
      <c r="C34" s="9">
        <v>40</v>
      </c>
      <c r="D34" s="10"/>
      <c r="E34" s="10"/>
      <c r="F34" s="9">
        <f t="shared" si="0"/>
        <v>0</v>
      </c>
      <c r="G34" s="11">
        <f t="shared" si="1"/>
        <v>0</v>
      </c>
      <c r="H34" s="12">
        <v>817.58</v>
      </c>
      <c r="I34" s="13">
        <f t="shared" si="2"/>
        <v>0</v>
      </c>
      <c r="J34" s="14">
        <v>878</v>
      </c>
      <c r="K34" s="13">
        <f t="shared" si="3"/>
        <v>0</v>
      </c>
      <c r="L34" s="11">
        <v>0</v>
      </c>
      <c r="M34" s="13">
        <f t="shared" si="4"/>
        <v>0</v>
      </c>
    </row>
    <row r="35" spans="1:13">
      <c r="A35" s="7" t="s">
        <v>31</v>
      </c>
      <c r="B35" s="7" t="s">
        <v>33</v>
      </c>
      <c r="C35" s="9">
        <v>60</v>
      </c>
      <c r="D35" s="10">
        <v>234</v>
      </c>
      <c r="E35" s="10"/>
      <c r="F35" s="9">
        <f t="shared" si="0"/>
        <v>0</v>
      </c>
      <c r="G35" s="11">
        <f t="shared" si="1"/>
        <v>234</v>
      </c>
      <c r="H35" s="12">
        <v>1042.6500000000001</v>
      </c>
      <c r="I35" s="13">
        <f t="shared" si="2"/>
        <v>243980.10000000003</v>
      </c>
      <c r="J35" s="14">
        <v>1110</v>
      </c>
      <c r="K35" s="13">
        <f t="shared" si="3"/>
        <v>259740</v>
      </c>
      <c r="L35" s="11">
        <v>0</v>
      </c>
      <c r="M35" s="13">
        <f t="shared" si="4"/>
        <v>0</v>
      </c>
    </row>
    <row r="36" spans="1:13">
      <c r="A36" s="7" t="s">
        <v>34</v>
      </c>
      <c r="B36" s="7" t="s">
        <v>35</v>
      </c>
      <c r="C36" s="9">
        <v>7</v>
      </c>
      <c r="D36" s="10">
        <v>25</v>
      </c>
      <c r="E36" s="10"/>
      <c r="F36" s="9">
        <f t="shared" si="0"/>
        <v>0</v>
      </c>
      <c r="G36" s="11">
        <f t="shared" si="1"/>
        <v>25</v>
      </c>
      <c r="H36" s="12">
        <v>126.24</v>
      </c>
      <c r="I36" s="13">
        <f t="shared" si="2"/>
        <v>3156</v>
      </c>
      <c r="J36" s="14">
        <v>140</v>
      </c>
      <c r="K36" s="13">
        <f t="shared" si="3"/>
        <v>3500</v>
      </c>
      <c r="L36" s="11">
        <v>0</v>
      </c>
      <c r="M36" s="13">
        <f t="shared" si="4"/>
        <v>0</v>
      </c>
    </row>
    <row r="37" spans="1:13">
      <c r="A37" s="7" t="s">
        <v>36</v>
      </c>
      <c r="B37" s="7" t="s">
        <v>37</v>
      </c>
      <c r="C37" s="9">
        <v>125</v>
      </c>
      <c r="D37" s="10">
        <v>35</v>
      </c>
      <c r="E37" s="10"/>
      <c r="F37" s="9">
        <f t="shared" si="0"/>
        <v>0</v>
      </c>
      <c r="G37" s="11">
        <f t="shared" si="1"/>
        <v>35</v>
      </c>
      <c r="H37" s="12">
        <v>2050.54</v>
      </c>
      <c r="I37" s="13">
        <f t="shared" si="2"/>
        <v>71768.899999999994</v>
      </c>
      <c r="J37" s="14">
        <v>2175</v>
      </c>
      <c r="K37" s="13">
        <f t="shared" si="3"/>
        <v>76125</v>
      </c>
      <c r="L37" s="11">
        <v>0</v>
      </c>
      <c r="M37" s="13">
        <f t="shared" si="4"/>
        <v>0</v>
      </c>
    </row>
    <row r="38" spans="1:13">
      <c r="A38" s="7" t="s">
        <v>38</v>
      </c>
      <c r="B38" s="7" t="s">
        <v>17</v>
      </c>
      <c r="C38" s="9">
        <v>20</v>
      </c>
      <c r="D38" s="10"/>
      <c r="E38" s="10"/>
      <c r="F38" s="9">
        <f t="shared" si="0"/>
        <v>0</v>
      </c>
      <c r="G38" s="11">
        <f t="shared" si="1"/>
        <v>0</v>
      </c>
      <c r="H38" s="12">
        <v>399.19</v>
      </c>
      <c r="I38" s="13">
        <f t="shared" si="2"/>
        <v>0</v>
      </c>
      <c r="J38" s="14">
        <v>420</v>
      </c>
      <c r="K38" s="13">
        <f t="shared" si="3"/>
        <v>0</v>
      </c>
      <c r="L38" s="11">
        <v>0</v>
      </c>
      <c r="M38" s="13">
        <f t="shared" si="4"/>
        <v>0</v>
      </c>
    </row>
    <row r="39" spans="1:13">
      <c r="A39" s="7" t="s">
        <v>38</v>
      </c>
      <c r="B39" s="7" t="s">
        <v>18</v>
      </c>
      <c r="C39" s="9">
        <v>20</v>
      </c>
      <c r="D39" s="10"/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v>0</v>
      </c>
      <c r="M39" s="13">
        <f t="shared" si="4"/>
        <v>0</v>
      </c>
    </row>
    <row r="40" spans="1:13">
      <c r="A40" s="7" t="s">
        <v>38</v>
      </c>
      <c r="B40" s="7" t="s">
        <v>21</v>
      </c>
      <c r="C40" s="9">
        <v>20</v>
      </c>
      <c r="D40" s="10"/>
      <c r="E40" s="10"/>
      <c r="F40" s="9">
        <f t="shared" si="0"/>
        <v>0</v>
      </c>
      <c r="G40" s="11">
        <f t="shared" si="1"/>
        <v>0</v>
      </c>
      <c r="H40" s="12">
        <v>399.19</v>
      </c>
      <c r="I40" s="13">
        <f t="shared" si="2"/>
        <v>0</v>
      </c>
      <c r="J40" s="14">
        <v>420</v>
      </c>
      <c r="K40" s="13">
        <f t="shared" si="3"/>
        <v>0</v>
      </c>
      <c r="L40" s="11">
        <v>0</v>
      </c>
      <c r="M40" s="13">
        <f t="shared" si="4"/>
        <v>0</v>
      </c>
    </row>
    <row r="41" spans="1:13">
      <c r="A41" s="7" t="s">
        <v>39</v>
      </c>
      <c r="B41" s="7" t="s">
        <v>35</v>
      </c>
      <c r="C41" s="9">
        <v>9</v>
      </c>
      <c r="D41" s="10">
        <v>24</v>
      </c>
      <c r="E41" s="10"/>
      <c r="F41" s="9">
        <f t="shared" si="0"/>
        <v>0</v>
      </c>
      <c r="G41" s="11">
        <f t="shared" si="1"/>
        <v>24</v>
      </c>
      <c r="H41" s="12">
        <v>174.19</v>
      </c>
      <c r="I41" s="13">
        <f t="shared" si="2"/>
        <v>4180.5599999999995</v>
      </c>
      <c r="J41" s="14">
        <v>185</v>
      </c>
      <c r="K41" s="13">
        <f t="shared" si="3"/>
        <v>4440</v>
      </c>
      <c r="L41" s="11">
        <v>0</v>
      </c>
      <c r="M41" s="13">
        <f t="shared" si="4"/>
        <v>0</v>
      </c>
    </row>
    <row r="42" spans="1:13">
      <c r="A42" s="7" t="s">
        <v>40</v>
      </c>
      <c r="B42" s="7" t="s">
        <v>13</v>
      </c>
      <c r="C42" s="9">
        <v>35</v>
      </c>
      <c r="D42" s="10">
        <v>1</v>
      </c>
      <c r="E42" s="10">
        <v>45</v>
      </c>
      <c r="F42" s="9">
        <f t="shared" si="0"/>
        <v>33665.85</v>
      </c>
      <c r="G42" s="11">
        <f t="shared" si="1"/>
        <v>46</v>
      </c>
      <c r="H42" s="12">
        <v>748.13</v>
      </c>
      <c r="I42" s="13">
        <f t="shared" si="2"/>
        <v>748.13</v>
      </c>
      <c r="J42" s="14">
        <v>795</v>
      </c>
      <c r="K42" s="13">
        <f t="shared" si="3"/>
        <v>795</v>
      </c>
      <c r="L42" s="11">
        <v>0</v>
      </c>
      <c r="M42" s="13">
        <f t="shared" si="4"/>
        <v>0</v>
      </c>
    </row>
    <row r="43" spans="1:13">
      <c r="A43" s="7" t="s">
        <v>41</v>
      </c>
      <c r="B43" s="7" t="s">
        <v>17</v>
      </c>
      <c r="C43" s="9">
        <v>40</v>
      </c>
      <c r="D43" s="10">
        <v>43</v>
      </c>
      <c r="E43" s="10"/>
      <c r="F43" s="9">
        <f t="shared" si="0"/>
        <v>0</v>
      </c>
      <c r="G43" s="11">
        <f t="shared" si="1"/>
        <v>43</v>
      </c>
      <c r="H43" s="12">
        <v>842.86</v>
      </c>
      <c r="I43" s="13">
        <f t="shared" si="2"/>
        <v>36242.980000000003</v>
      </c>
      <c r="J43" s="14">
        <v>900</v>
      </c>
      <c r="K43" s="13">
        <f t="shared" si="3"/>
        <v>38700</v>
      </c>
      <c r="L43" s="11">
        <v>0</v>
      </c>
      <c r="M43" s="13">
        <f t="shared" si="4"/>
        <v>0</v>
      </c>
    </row>
    <row r="44" spans="1:13">
      <c r="A44" s="7" t="s">
        <v>41</v>
      </c>
      <c r="B44" s="7" t="s">
        <v>18</v>
      </c>
      <c r="C44" s="9">
        <v>40</v>
      </c>
      <c r="D44" s="10">
        <v>32</v>
      </c>
      <c r="E44" s="10"/>
      <c r="F44" s="9">
        <f t="shared" si="0"/>
        <v>0</v>
      </c>
      <c r="G44" s="11">
        <f t="shared" si="1"/>
        <v>32</v>
      </c>
      <c r="H44" s="12">
        <v>842.86</v>
      </c>
      <c r="I44" s="13">
        <f t="shared" si="2"/>
        <v>26971.52</v>
      </c>
      <c r="J44" s="14">
        <v>900</v>
      </c>
      <c r="K44" s="13">
        <f t="shared" si="3"/>
        <v>28800</v>
      </c>
      <c r="L44" s="11">
        <v>0</v>
      </c>
      <c r="M44" s="13">
        <f t="shared" si="4"/>
        <v>0</v>
      </c>
    </row>
    <row r="45" spans="1:13">
      <c r="A45" s="7" t="s">
        <v>41</v>
      </c>
      <c r="B45" s="7" t="s">
        <v>19</v>
      </c>
      <c r="C45" s="9">
        <v>40</v>
      </c>
      <c r="D45" s="10"/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v>0</v>
      </c>
      <c r="M45" s="13">
        <f t="shared" si="4"/>
        <v>0</v>
      </c>
    </row>
    <row r="46" spans="1:13">
      <c r="A46" s="7" t="s">
        <v>41</v>
      </c>
      <c r="B46" s="7" t="s">
        <v>20</v>
      </c>
      <c r="C46" s="9">
        <v>40</v>
      </c>
      <c r="D46" s="10"/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v>0</v>
      </c>
      <c r="M46" s="13">
        <f t="shared" si="4"/>
        <v>0</v>
      </c>
    </row>
    <row r="47" spans="1:13">
      <c r="A47" s="7" t="s">
        <v>41</v>
      </c>
      <c r="B47" s="7" t="s">
        <v>21</v>
      </c>
      <c r="C47" s="9">
        <v>40</v>
      </c>
      <c r="D47" s="10"/>
      <c r="E47" s="10"/>
      <c r="F47" s="9">
        <f t="shared" si="0"/>
        <v>0</v>
      </c>
      <c r="G47" s="11">
        <f t="shared" si="1"/>
        <v>0</v>
      </c>
      <c r="H47" s="12">
        <v>839.68</v>
      </c>
      <c r="I47" s="13">
        <f t="shared" si="2"/>
        <v>0</v>
      </c>
      <c r="J47" s="14">
        <v>900</v>
      </c>
      <c r="K47" s="13">
        <f t="shared" si="3"/>
        <v>0</v>
      </c>
      <c r="L47" s="11">
        <v>0</v>
      </c>
      <c r="M47" s="13">
        <f t="shared" si="4"/>
        <v>0</v>
      </c>
    </row>
    <row r="48" spans="1:13">
      <c r="A48" s="7" t="s">
        <v>42</v>
      </c>
      <c r="B48" s="7" t="s">
        <v>29</v>
      </c>
      <c r="C48" s="9">
        <v>18</v>
      </c>
      <c r="D48" s="10">
        <v>1</v>
      </c>
      <c r="E48" s="10">
        <v>54</v>
      </c>
      <c r="F48" s="9">
        <f t="shared" si="0"/>
        <v>20286.72</v>
      </c>
      <c r="G48" s="11">
        <f t="shared" si="1"/>
        <v>55</v>
      </c>
      <c r="H48" s="12">
        <v>375.68</v>
      </c>
      <c r="I48" s="13">
        <f t="shared" si="2"/>
        <v>375.68</v>
      </c>
      <c r="J48" s="14">
        <v>400</v>
      </c>
      <c r="K48" s="13">
        <f t="shared" si="3"/>
        <v>400</v>
      </c>
      <c r="L48" s="11">
        <v>0</v>
      </c>
      <c r="M48" s="13">
        <f t="shared" si="4"/>
        <v>0</v>
      </c>
    </row>
    <row r="49" spans="1:13">
      <c r="A49" s="7" t="s">
        <v>54</v>
      </c>
      <c r="B49" s="7" t="s">
        <v>44</v>
      </c>
      <c r="C49" s="9">
        <v>50</v>
      </c>
      <c r="D49" s="10"/>
      <c r="E49" s="11"/>
      <c r="F49" s="9">
        <f t="shared" si="0"/>
        <v>0</v>
      </c>
      <c r="G49" s="11">
        <f t="shared" si="1"/>
        <v>0</v>
      </c>
      <c r="H49" s="12">
        <v>670.32</v>
      </c>
      <c r="I49" s="13">
        <f t="shared" si="2"/>
        <v>0</v>
      </c>
      <c r="J49" s="14">
        <v>710</v>
      </c>
      <c r="K49" s="13">
        <f t="shared" si="3"/>
        <v>0</v>
      </c>
      <c r="L49" s="11">
        <v>0</v>
      </c>
      <c r="M49" s="13">
        <f t="shared" si="4"/>
        <v>0</v>
      </c>
    </row>
    <row r="50" spans="1:13">
      <c r="A50" s="7" t="s">
        <v>43</v>
      </c>
      <c r="B50" s="7" t="s">
        <v>17</v>
      </c>
      <c r="C50" s="9">
        <v>50</v>
      </c>
      <c r="D50" s="10">
        <v>42</v>
      </c>
      <c r="E50" s="10"/>
      <c r="F50" s="9">
        <f t="shared" si="0"/>
        <v>0</v>
      </c>
      <c r="G50" s="11">
        <f t="shared" si="1"/>
        <v>42</v>
      </c>
      <c r="H50" s="12">
        <v>661.22</v>
      </c>
      <c r="I50" s="13">
        <f t="shared" si="2"/>
        <v>27771.24</v>
      </c>
      <c r="J50" s="14">
        <v>710</v>
      </c>
      <c r="K50" s="13">
        <f t="shared" si="3"/>
        <v>29820</v>
      </c>
      <c r="L50" s="11">
        <v>0</v>
      </c>
      <c r="M50" s="13">
        <f t="shared" si="4"/>
        <v>0</v>
      </c>
    </row>
    <row r="51" spans="1:13">
      <c r="A51" s="7" t="s">
        <v>43</v>
      </c>
      <c r="B51" s="7" t="s">
        <v>18</v>
      </c>
      <c r="C51" s="9">
        <v>50</v>
      </c>
      <c r="D51" s="10">
        <v>21</v>
      </c>
      <c r="E51" s="10"/>
      <c r="F51" s="9">
        <f t="shared" si="0"/>
        <v>0</v>
      </c>
      <c r="G51" s="11">
        <f t="shared" si="1"/>
        <v>21</v>
      </c>
      <c r="H51" s="12">
        <v>661.22</v>
      </c>
      <c r="I51" s="13">
        <f t="shared" si="2"/>
        <v>13885.62</v>
      </c>
      <c r="J51" s="14">
        <v>710</v>
      </c>
      <c r="K51" s="13">
        <f t="shared" si="3"/>
        <v>14910</v>
      </c>
      <c r="L51" s="11">
        <v>0</v>
      </c>
      <c r="M51" s="13">
        <f t="shared" si="4"/>
        <v>0</v>
      </c>
    </row>
    <row r="52" spans="1:13">
      <c r="A52" s="7" t="s">
        <v>43</v>
      </c>
      <c r="B52" s="7" t="s">
        <v>19</v>
      </c>
      <c r="C52" s="9">
        <v>50</v>
      </c>
      <c r="D52" s="10"/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v>0</v>
      </c>
      <c r="M52" s="13">
        <f t="shared" si="4"/>
        <v>0</v>
      </c>
    </row>
    <row r="53" spans="1:13">
      <c r="A53" s="7" t="s">
        <v>43</v>
      </c>
      <c r="B53" s="7" t="s">
        <v>20</v>
      </c>
      <c r="C53" s="9">
        <v>50</v>
      </c>
      <c r="D53" s="10"/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v>0</v>
      </c>
      <c r="M53" s="13">
        <f t="shared" si="4"/>
        <v>0</v>
      </c>
    </row>
    <row r="54" spans="1:13">
      <c r="A54" s="7" t="s">
        <v>43</v>
      </c>
      <c r="B54" s="7" t="s">
        <v>21</v>
      </c>
      <c r="C54" s="9">
        <v>50</v>
      </c>
      <c r="D54" s="10"/>
      <c r="E54" s="10"/>
      <c r="F54" s="9">
        <f t="shared" si="0"/>
        <v>0</v>
      </c>
      <c r="G54" s="11">
        <f t="shared" si="1"/>
        <v>0</v>
      </c>
      <c r="H54" s="12">
        <v>661.22</v>
      </c>
      <c r="I54" s="13">
        <f t="shared" si="2"/>
        <v>0</v>
      </c>
      <c r="J54" s="14">
        <v>710</v>
      </c>
      <c r="K54" s="13">
        <f t="shared" si="3"/>
        <v>0</v>
      </c>
      <c r="L54" s="11">
        <v>0</v>
      </c>
      <c r="M54" s="13">
        <f t="shared" si="4"/>
        <v>0</v>
      </c>
    </row>
    <row r="55" spans="1:13">
      <c r="A55" s="7" t="s">
        <v>43</v>
      </c>
      <c r="B55" s="7" t="s">
        <v>44</v>
      </c>
      <c r="C55" s="9">
        <v>85</v>
      </c>
      <c r="D55" s="10">
        <v>3</v>
      </c>
      <c r="E55" s="10"/>
      <c r="F55" s="9">
        <f t="shared" si="0"/>
        <v>0</v>
      </c>
      <c r="G55" s="11">
        <f t="shared" si="1"/>
        <v>3</v>
      </c>
      <c r="H55" s="12">
        <v>797.07</v>
      </c>
      <c r="I55" s="13">
        <f t="shared" si="2"/>
        <v>2391.21</v>
      </c>
      <c r="J55" s="14">
        <v>845</v>
      </c>
      <c r="K55" s="13">
        <f t="shared" si="3"/>
        <v>2535</v>
      </c>
      <c r="L55" s="11">
        <v>0</v>
      </c>
      <c r="M55" s="13">
        <f t="shared" si="4"/>
        <v>0</v>
      </c>
    </row>
    <row r="56" spans="1:13">
      <c r="A56" s="7" t="s">
        <v>45</v>
      </c>
      <c r="B56" s="7" t="s">
        <v>35</v>
      </c>
      <c r="C56" s="9">
        <v>18</v>
      </c>
      <c r="D56" s="10">
        <v>684</v>
      </c>
      <c r="E56" s="10"/>
      <c r="F56" s="9">
        <f t="shared" si="0"/>
        <v>0</v>
      </c>
      <c r="G56" s="11">
        <f t="shared" si="1"/>
        <v>684</v>
      </c>
      <c r="H56" s="12">
        <v>160.77000000000001</v>
      </c>
      <c r="I56" s="13">
        <f t="shared" si="2"/>
        <v>109966.68000000001</v>
      </c>
      <c r="J56" s="14">
        <v>175</v>
      </c>
      <c r="K56" s="13">
        <f t="shared" si="3"/>
        <v>119700</v>
      </c>
      <c r="L56" s="11">
        <v>0</v>
      </c>
      <c r="M56" s="13">
        <f t="shared" si="4"/>
        <v>0</v>
      </c>
    </row>
    <row r="57" spans="1:13">
      <c r="A57" s="7" t="s">
        <v>46</v>
      </c>
      <c r="B57" s="7" t="s">
        <v>13</v>
      </c>
      <c r="C57" s="9">
        <v>70</v>
      </c>
      <c r="D57" s="10">
        <v>9</v>
      </c>
      <c r="E57" s="10"/>
      <c r="F57" s="9">
        <f t="shared" si="0"/>
        <v>0</v>
      </c>
      <c r="G57" s="11">
        <f t="shared" si="1"/>
        <v>9</v>
      </c>
      <c r="H57" s="12">
        <v>744.99</v>
      </c>
      <c r="I57" s="13">
        <f t="shared" si="2"/>
        <v>6704.91</v>
      </c>
      <c r="J57" s="14">
        <v>790</v>
      </c>
      <c r="K57" s="13">
        <f t="shared" si="3"/>
        <v>7110</v>
      </c>
      <c r="L57" s="11">
        <v>0</v>
      </c>
      <c r="M57" s="13">
        <f t="shared" si="4"/>
        <v>0</v>
      </c>
    </row>
    <row r="58" spans="1:13">
      <c r="A58" s="7" t="s">
        <v>47</v>
      </c>
      <c r="B58" s="7" t="s">
        <v>29</v>
      </c>
      <c r="C58" s="9">
        <v>30</v>
      </c>
      <c r="D58" s="10"/>
      <c r="E58" s="10"/>
      <c r="F58" s="9">
        <f t="shared" si="0"/>
        <v>0</v>
      </c>
      <c r="G58" s="11">
        <f t="shared" si="1"/>
        <v>0</v>
      </c>
      <c r="H58" s="12">
        <v>316.14999999999998</v>
      </c>
      <c r="I58" s="13">
        <f t="shared" si="2"/>
        <v>0</v>
      </c>
      <c r="J58" s="14">
        <v>336</v>
      </c>
      <c r="K58" s="13">
        <f t="shared" si="3"/>
        <v>0</v>
      </c>
      <c r="L58" s="11">
        <v>0</v>
      </c>
      <c r="M58" s="13">
        <f t="shared" si="4"/>
        <v>0</v>
      </c>
    </row>
    <row r="59" spans="1:13">
      <c r="A59" s="7" t="s">
        <v>48</v>
      </c>
      <c r="B59" s="7" t="s">
        <v>13</v>
      </c>
      <c r="C59" s="9">
        <v>95</v>
      </c>
      <c r="D59" s="10">
        <v>11</v>
      </c>
      <c r="E59" s="10"/>
      <c r="F59" s="9">
        <f t="shared" si="0"/>
        <v>0</v>
      </c>
      <c r="G59" s="11">
        <f t="shared" si="1"/>
        <v>11</v>
      </c>
      <c r="H59" s="12">
        <v>1042.9000000000001</v>
      </c>
      <c r="I59" s="13">
        <f t="shared" si="2"/>
        <v>11471.900000000001</v>
      </c>
      <c r="J59" s="14">
        <v>1105</v>
      </c>
      <c r="K59" s="13">
        <f t="shared" si="3"/>
        <v>12155</v>
      </c>
      <c r="L59" s="11">
        <v>0</v>
      </c>
      <c r="M59" s="13">
        <f t="shared" si="4"/>
        <v>0</v>
      </c>
    </row>
    <row r="60" spans="1:13">
      <c r="A60" s="7" t="s">
        <v>49</v>
      </c>
      <c r="B60" s="7" t="s">
        <v>35</v>
      </c>
      <c r="C60" s="9">
        <v>28</v>
      </c>
      <c r="D60" s="10">
        <v>20</v>
      </c>
      <c r="E60" s="10"/>
      <c r="F60" s="9">
        <f t="shared" si="0"/>
        <v>0</v>
      </c>
      <c r="G60" s="11">
        <f t="shared" si="1"/>
        <v>20</v>
      </c>
      <c r="H60" s="12">
        <v>165.06</v>
      </c>
      <c r="I60" s="13">
        <f t="shared" si="2"/>
        <v>3301.2</v>
      </c>
      <c r="J60" s="14">
        <v>180</v>
      </c>
      <c r="K60" s="13">
        <f t="shared" si="3"/>
        <v>3600</v>
      </c>
      <c r="L60" s="11">
        <v>0</v>
      </c>
      <c r="M60" s="13">
        <f t="shared" si="4"/>
        <v>0</v>
      </c>
    </row>
    <row r="61" spans="1:13">
      <c r="A61" s="7" t="s">
        <v>50</v>
      </c>
      <c r="B61" s="7" t="s">
        <v>17</v>
      </c>
      <c r="C61" s="9">
        <v>70</v>
      </c>
      <c r="D61" s="10"/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v>0</v>
      </c>
      <c r="M61" s="13">
        <f t="shared" si="4"/>
        <v>0</v>
      </c>
    </row>
    <row r="62" spans="1:13">
      <c r="A62" s="7" t="s">
        <v>50</v>
      </c>
      <c r="B62" s="7" t="s">
        <v>18</v>
      </c>
      <c r="C62" s="9">
        <v>70</v>
      </c>
      <c r="D62" s="10"/>
      <c r="E62" s="10"/>
      <c r="F62" s="9">
        <f t="shared" si="0"/>
        <v>0</v>
      </c>
      <c r="G62" s="11">
        <f t="shared" si="1"/>
        <v>0</v>
      </c>
      <c r="H62" s="12">
        <v>721.25</v>
      </c>
      <c r="I62" s="13">
        <f t="shared" si="2"/>
        <v>0</v>
      </c>
      <c r="J62" s="14">
        <v>771</v>
      </c>
      <c r="K62" s="13">
        <f t="shared" si="3"/>
        <v>0</v>
      </c>
      <c r="L62" s="11">
        <v>0</v>
      </c>
      <c r="M62" s="13">
        <f t="shared" si="4"/>
        <v>0</v>
      </c>
    </row>
    <row r="63" spans="1:13">
      <c r="A63" s="7" t="s">
        <v>51</v>
      </c>
      <c r="B63" s="7" t="s">
        <v>17</v>
      </c>
      <c r="C63" s="9">
        <v>100</v>
      </c>
      <c r="D63" s="10">
        <v>232</v>
      </c>
      <c r="E63" s="10"/>
      <c r="F63" s="9">
        <f t="shared" si="0"/>
        <v>0</v>
      </c>
      <c r="G63" s="11">
        <f t="shared" si="1"/>
        <v>232</v>
      </c>
      <c r="H63" s="12">
        <v>790.89</v>
      </c>
      <c r="I63" s="13">
        <f t="shared" si="2"/>
        <v>183486.48</v>
      </c>
      <c r="J63" s="14">
        <v>845</v>
      </c>
      <c r="K63" s="13">
        <f t="shared" si="3"/>
        <v>196040</v>
      </c>
      <c r="L63" s="11">
        <v>0</v>
      </c>
      <c r="M63" s="13">
        <f t="shared" si="4"/>
        <v>0</v>
      </c>
    </row>
    <row r="64" spans="1:13">
      <c r="A64" s="7" t="s">
        <v>51</v>
      </c>
      <c r="B64" s="7" t="s">
        <v>18</v>
      </c>
      <c r="C64" s="9">
        <v>100</v>
      </c>
      <c r="D64" s="10">
        <v>94</v>
      </c>
      <c r="E64" s="10"/>
      <c r="F64" s="9">
        <f t="shared" si="0"/>
        <v>0</v>
      </c>
      <c r="G64" s="11">
        <f t="shared" si="1"/>
        <v>94</v>
      </c>
      <c r="H64" s="12">
        <v>790.89</v>
      </c>
      <c r="I64" s="13">
        <f t="shared" si="2"/>
        <v>74343.66</v>
      </c>
      <c r="J64" s="14">
        <v>845</v>
      </c>
      <c r="K64" s="13">
        <f t="shared" si="3"/>
        <v>79430</v>
      </c>
      <c r="L64" s="11">
        <v>0</v>
      </c>
      <c r="M64" s="13">
        <f t="shared" si="4"/>
        <v>0</v>
      </c>
    </row>
    <row r="65" spans="1:13">
      <c r="A65" s="7" t="s">
        <v>51</v>
      </c>
      <c r="B65" s="7" t="s">
        <v>19</v>
      </c>
      <c r="C65" s="9">
        <v>100</v>
      </c>
      <c r="D65" s="10"/>
      <c r="E65" s="10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v>0</v>
      </c>
      <c r="M65" s="13">
        <f t="shared" si="4"/>
        <v>0</v>
      </c>
    </row>
    <row r="66" spans="1:13">
      <c r="A66" s="7" t="s">
        <v>51</v>
      </c>
      <c r="B66" s="7" t="s">
        <v>20</v>
      </c>
      <c r="C66" s="9">
        <v>100</v>
      </c>
      <c r="D66" s="10"/>
      <c r="E66" s="11"/>
      <c r="F66" s="9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v>0</v>
      </c>
      <c r="M66" s="13">
        <f t="shared" si="4"/>
        <v>0</v>
      </c>
    </row>
    <row r="67" spans="1:13">
      <c r="A67" s="7" t="s">
        <v>51</v>
      </c>
      <c r="B67" s="7" t="s">
        <v>21</v>
      </c>
      <c r="C67" s="9">
        <v>100</v>
      </c>
      <c r="D67" s="10"/>
      <c r="E67" s="11"/>
      <c r="F67" s="15">
        <f t="shared" si="0"/>
        <v>0</v>
      </c>
      <c r="G67" s="11">
        <f t="shared" si="1"/>
        <v>0</v>
      </c>
      <c r="H67" s="12">
        <v>790.89</v>
      </c>
      <c r="I67" s="13">
        <f t="shared" si="2"/>
        <v>0</v>
      </c>
      <c r="J67" s="14">
        <v>845</v>
      </c>
      <c r="K67" s="13">
        <f t="shared" si="3"/>
        <v>0</v>
      </c>
      <c r="L67" s="11">
        <v>0</v>
      </c>
      <c r="M67" s="13">
        <f t="shared" si="4"/>
        <v>0</v>
      </c>
    </row>
    <row r="68" spans="1:13">
      <c r="A68" s="35" t="s">
        <v>52</v>
      </c>
      <c r="B68" s="36"/>
      <c r="C68" s="37"/>
      <c r="D68" s="16">
        <f>SUM(D2:D67)</f>
        <v>3242</v>
      </c>
      <c r="E68" s="17">
        <f>SUM(E2:E67)</f>
        <v>906</v>
      </c>
      <c r="F68" s="18">
        <f>SUM(F2:F67)</f>
        <v>361693.95000000007</v>
      </c>
      <c r="G68" s="17">
        <f>SUM(G2:G67)</f>
        <v>4148</v>
      </c>
      <c r="H68" s="19"/>
      <c r="I68" s="20">
        <f>SUM(I2:I67)</f>
        <v>1386924.2199999997</v>
      </c>
      <c r="J68" s="21">
        <f>SUM(J2:J67)</f>
        <v>41132</v>
      </c>
      <c r="K68" s="22">
        <f>SUM(K2:K67)</f>
        <v>1484009</v>
      </c>
      <c r="L68" s="23">
        <f>SUM(L2:L67)</f>
        <v>0</v>
      </c>
      <c r="M68" s="24">
        <f>SUM(M2:M67)</f>
        <v>0</v>
      </c>
    </row>
    <row r="71" spans="1:13">
      <c r="F71" s="31"/>
    </row>
    <row r="74" spans="1:13">
      <c r="I74" s="33"/>
      <c r="J74" s="32"/>
      <c r="K74" s="33"/>
    </row>
    <row r="75" spans="1:13">
      <c r="I75" s="33"/>
      <c r="J75" s="32"/>
      <c r="K75" s="33"/>
    </row>
    <row r="76" spans="1:13">
      <c r="I76" s="33"/>
      <c r="J76" s="29"/>
      <c r="K76" s="30"/>
    </row>
    <row r="77" spans="1:13">
      <c r="D77" s="25" t="s">
        <v>53</v>
      </c>
      <c r="I77" s="33"/>
      <c r="J77" s="34"/>
      <c r="K77" s="34"/>
    </row>
    <row r="78" spans="1:13"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  <c r="I80" s="33"/>
      <c r="J80" s="32"/>
      <c r="K80" s="33"/>
    </row>
    <row r="81" spans="6:6">
      <c r="F81" s="26"/>
    </row>
  </sheetData>
  <mergeCells count="1">
    <mergeCell ref="A68:C6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81"/>
  <sheetViews>
    <sheetView topLeftCell="A44" workbookViewId="0">
      <selection activeCell="O60" sqref="O60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307</v>
      </c>
      <c r="E2" s="11"/>
      <c r="F2" s="9">
        <f>E2*H2</f>
        <v>0</v>
      </c>
      <c r="G2" s="11">
        <f>D2+E2</f>
        <v>307</v>
      </c>
      <c r="H2" s="12">
        <v>308.13</v>
      </c>
      <c r="I2" s="13">
        <f>H2*D2</f>
        <v>94595.91</v>
      </c>
      <c r="J2" s="14">
        <v>326</v>
      </c>
      <c r="K2" s="13">
        <f>J2*D2</f>
        <v>100082</v>
      </c>
      <c r="L2" s="11">
        <f>G2-'20'!D2</f>
        <v>19</v>
      </c>
      <c r="M2" s="13">
        <f>L2*J2</f>
        <v>6194</v>
      </c>
    </row>
    <row r="3" spans="1:13">
      <c r="A3" s="7" t="s">
        <v>12</v>
      </c>
      <c r="B3" s="8" t="s">
        <v>14</v>
      </c>
      <c r="C3" s="9">
        <v>9</v>
      </c>
      <c r="D3" s="10">
        <v>77</v>
      </c>
      <c r="E3" s="11"/>
      <c r="F3" s="9">
        <f t="shared" ref="F3:F67" si="0">E3*H3</f>
        <v>0</v>
      </c>
      <c r="G3" s="11">
        <f t="shared" ref="G3:G67" si="1">D3+E3</f>
        <v>77</v>
      </c>
      <c r="H3" s="12">
        <v>308.19</v>
      </c>
      <c r="I3" s="13">
        <f t="shared" ref="I3:I67" si="2">H3*D3</f>
        <v>23730.63</v>
      </c>
      <c r="J3" s="14">
        <v>326</v>
      </c>
      <c r="K3" s="13">
        <f t="shared" ref="K3:K67" si="3">J3*D3</f>
        <v>25102</v>
      </c>
      <c r="L3" s="11">
        <f>G3-'20'!D3</f>
        <v>1</v>
      </c>
      <c r="M3" s="13">
        <f t="shared" ref="M3:M67" si="4">L3*J3</f>
        <v>326</v>
      </c>
    </row>
    <row r="4" spans="1:13">
      <c r="A4" s="7" t="s">
        <v>12</v>
      </c>
      <c r="B4" s="8" t="s">
        <v>15</v>
      </c>
      <c r="C4" s="9">
        <v>9</v>
      </c>
      <c r="D4" s="10">
        <v>0</v>
      </c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f>G4-'20'!D4</f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239</v>
      </c>
      <c r="E5" s="11"/>
      <c r="F5" s="9">
        <f t="shared" si="0"/>
        <v>0</v>
      </c>
      <c r="G5" s="11">
        <f t="shared" si="1"/>
        <v>239</v>
      </c>
      <c r="H5" s="12">
        <v>174.77</v>
      </c>
      <c r="I5" s="13">
        <f t="shared" si="2"/>
        <v>41770.03</v>
      </c>
      <c r="J5" s="14">
        <v>192</v>
      </c>
      <c r="K5" s="13">
        <f t="shared" si="3"/>
        <v>45888</v>
      </c>
      <c r="L5" s="11">
        <f>G5-'20'!D5</f>
        <v>15</v>
      </c>
      <c r="M5" s="13">
        <f t="shared" si="4"/>
        <v>2880</v>
      </c>
    </row>
    <row r="6" spans="1:13">
      <c r="A6" s="7" t="s">
        <v>16</v>
      </c>
      <c r="B6" s="8" t="s">
        <v>18</v>
      </c>
      <c r="C6" s="9">
        <v>10</v>
      </c>
      <c r="D6" s="10">
        <v>175</v>
      </c>
      <c r="E6" s="11"/>
      <c r="F6" s="9">
        <f t="shared" si="0"/>
        <v>0</v>
      </c>
      <c r="G6" s="11">
        <f t="shared" si="1"/>
        <v>175</v>
      </c>
      <c r="H6" s="12">
        <v>174.77</v>
      </c>
      <c r="I6" s="13">
        <f t="shared" si="2"/>
        <v>30584.75</v>
      </c>
      <c r="J6" s="14">
        <v>192</v>
      </c>
      <c r="K6" s="13">
        <f t="shared" si="3"/>
        <v>33600</v>
      </c>
      <c r="L6" s="11">
        <f>G6-'20'!D6</f>
        <v>7</v>
      </c>
      <c r="M6" s="13">
        <f t="shared" si="4"/>
        <v>1344</v>
      </c>
    </row>
    <row r="7" spans="1:13">
      <c r="A7" s="7" t="s">
        <v>16</v>
      </c>
      <c r="B7" s="8" t="s">
        <v>19</v>
      </c>
      <c r="C7" s="9">
        <v>10</v>
      </c>
      <c r="D7" s="10">
        <v>34</v>
      </c>
      <c r="E7" s="11"/>
      <c r="F7" s="9">
        <f t="shared" si="0"/>
        <v>0</v>
      </c>
      <c r="G7" s="11">
        <f t="shared" si="1"/>
        <v>34</v>
      </c>
      <c r="H7" s="12">
        <v>174.77</v>
      </c>
      <c r="I7" s="13">
        <f t="shared" si="2"/>
        <v>5942.18</v>
      </c>
      <c r="J7" s="14">
        <v>192</v>
      </c>
      <c r="K7" s="13">
        <f t="shared" si="3"/>
        <v>6528</v>
      </c>
      <c r="L7" s="11">
        <f>G7-'20'!D7</f>
        <v>3</v>
      </c>
      <c r="M7" s="13">
        <f t="shared" si="4"/>
        <v>576</v>
      </c>
    </row>
    <row r="8" spans="1:13">
      <c r="A8" s="7" t="s">
        <v>16</v>
      </c>
      <c r="B8" s="8" t="s">
        <v>20</v>
      </c>
      <c r="C8" s="9">
        <v>10</v>
      </c>
      <c r="D8" s="10">
        <v>89</v>
      </c>
      <c r="E8" s="11"/>
      <c r="F8" s="9">
        <f t="shared" si="0"/>
        <v>0</v>
      </c>
      <c r="G8" s="11">
        <f t="shared" si="1"/>
        <v>89</v>
      </c>
      <c r="H8" s="12">
        <v>174.77</v>
      </c>
      <c r="I8" s="13">
        <f t="shared" si="2"/>
        <v>15554.53</v>
      </c>
      <c r="J8" s="14">
        <v>192</v>
      </c>
      <c r="K8" s="13">
        <f t="shared" si="3"/>
        <v>17088</v>
      </c>
      <c r="L8" s="11">
        <f>G8-'20'!D8</f>
        <v>6</v>
      </c>
      <c r="M8" s="13">
        <f t="shared" si="4"/>
        <v>1152</v>
      </c>
    </row>
    <row r="9" spans="1:13">
      <c r="A9" s="7" t="s">
        <v>16</v>
      </c>
      <c r="B9" s="8" t="s">
        <v>21</v>
      </c>
      <c r="C9" s="9">
        <v>10</v>
      </c>
      <c r="D9" s="10">
        <v>123</v>
      </c>
      <c r="E9" s="11"/>
      <c r="F9" s="9">
        <f t="shared" si="0"/>
        <v>0</v>
      </c>
      <c r="G9" s="11">
        <f t="shared" si="1"/>
        <v>123</v>
      </c>
      <c r="H9" s="12">
        <v>174.77</v>
      </c>
      <c r="I9" s="13">
        <f t="shared" si="2"/>
        <v>21496.710000000003</v>
      </c>
      <c r="J9" s="14">
        <v>192</v>
      </c>
      <c r="K9" s="13">
        <f t="shared" si="3"/>
        <v>23616</v>
      </c>
      <c r="L9" s="11">
        <f>G9-'20'!D9</f>
        <v>3</v>
      </c>
      <c r="M9" s="13">
        <f t="shared" si="4"/>
        <v>576</v>
      </c>
    </row>
    <row r="10" spans="1:13">
      <c r="A10" s="7" t="s">
        <v>16</v>
      </c>
      <c r="B10" s="8" t="s">
        <v>13</v>
      </c>
      <c r="C10" s="9">
        <v>14</v>
      </c>
      <c r="D10" s="10">
        <v>0</v>
      </c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f>G10-'20'!D10</f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16</v>
      </c>
      <c r="E11" s="11"/>
      <c r="F11" s="9">
        <f t="shared" si="0"/>
        <v>0</v>
      </c>
      <c r="G11" s="11">
        <f t="shared" si="1"/>
        <v>16</v>
      </c>
      <c r="H11" s="12">
        <v>470.8</v>
      </c>
      <c r="I11" s="13">
        <f t="shared" si="2"/>
        <v>7532.8</v>
      </c>
      <c r="J11" s="14">
        <v>505</v>
      </c>
      <c r="K11" s="13">
        <f t="shared" si="3"/>
        <v>8080</v>
      </c>
      <c r="L11" s="11">
        <f>G11-'20'!D11</f>
        <v>1</v>
      </c>
      <c r="M11" s="13">
        <f t="shared" si="4"/>
        <v>505</v>
      </c>
    </row>
    <row r="12" spans="1:13">
      <c r="A12" s="7" t="s">
        <v>22</v>
      </c>
      <c r="B12" s="8" t="s">
        <v>17</v>
      </c>
      <c r="C12" s="9">
        <v>20</v>
      </c>
      <c r="D12" s="10">
        <v>474</v>
      </c>
      <c r="E12" s="11"/>
      <c r="F12" s="9">
        <f>E12*H12</f>
        <v>0</v>
      </c>
      <c r="G12" s="11">
        <f t="shared" si="1"/>
        <v>474</v>
      </c>
      <c r="H12" s="12">
        <v>475.77</v>
      </c>
      <c r="I12" s="13">
        <f t="shared" si="2"/>
        <v>225514.97999999998</v>
      </c>
      <c r="J12" s="14">
        <v>505</v>
      </c>
      <c r="K12" s="13">
        <f t="shared" si="3"/>
        <v>239370</v>
      </c>
      <c r="L12" s="11">
        <f>G12-'20'!D12</f>
        <v>108</v>
      </c>
      <c r="M12" s="13">
        <f t="shared" si="4"/>
        <v>54540</v>
      </c>
    </row>
    <row r="13" spans="1:13">
      <c r="A13" s="7" t="s">
        <v>22</v>
      </c>
      <c r="B13" s="8" t="s">
        <v>18</v>
      </c>
      <c r="C13" s="9">
        <v>20</v>
      </c>
      <c r="D13" s="10">
        <v>359</v>
      </c>
      <c r="E13" s="11"/>
      <c r="F13" s="9">
        <f t="shared" si="0"/>
        <v>0</v>
      </c>
      <c r="G13" s="11">
        <f t="shared" si="1"/>
        <v>359</v>
      </c>
      <c r="H13" s="12">
        <v>475.77</v>
      </c>
      <c r="I13" s="13">
        <f t="shared" si="2"/>
        <v>170801.43</v>
      </c>
      <c r="J13" s="14">
        <v>505</v>
      </c>
      <c r="K13" s="13">
        <f t="shared" si="3"/>
        <v>181295</v>
      </c>
      <c r="L13" s="11">
        <f>G13-'20'!D13</f>
        <v>58</v>
      </c>
      <c r="M13" s="13">
        <f t="shared" si="4"/>
        <v>29290</v>
      </c>
    </row>
    <row r="14" spans="1:13">
      <c r="A14" s="7" t="s">
        <v>22</v>
      </c>
      <c r="B14" s="8" t="s">
        <v>19</v>
      </c>
      <c r="C14" s="9">
        <v>20</v>
      </c>
      <c r="D14" s="10">
        <v>65</v>
      </c>
      <c r="E14" s="11"/>
      <c r="F14" s="9">
        <f t="shared" si="0"/>
        <v>0</v>
      </c>
      <c r="G14" s="11">
        <f t="shared" si="1"/>
        <v>65</v>
      </c>
      <c r="H14" s="12">
        <v>470.8</v>
      </c>
      <c r="I14" s="13">
        <f t="shared" si="2"/>
        <v>30602</v>
      </c>
      <c r="J14" s="14">
        <v>505</v>
      </c>
      <c r="K14" s="13">
        <f t="shared" si="3"/>
        <v>32825</v>
      </c>
      <c r="L14" s="11">
        <f>G14-'20'!D14</f>
        <v>15</v>
      </c>
      <c r="M14" s="13">
        <f t="shared" si="4"/>
        <v>7575</v>
      </c>
    </row>
    <row r="15" spans="1:13">
      <c r="A15" s="7" t="s">
        <v>22</v>
      </c>
      <c r="B15" s="8" t="s">
        <v>20</v>
      </c>
      <c r="C15" s="9">
        <v>20</v>
      </c>
      <c r="D15" s="10">
        <v>65</v>
      </c>
      <c r="E15" s="11"/>
      <c r="F15" s="9">
        <f t="shared" si="0"/>
        <v>0</v>
      </c>
      <c r="G15" s="11">
        <f t="shared" si="1"/>
        <v>65</v>
      </c>
      <c r="H15" s="12">
        <v>470.8</v>
      </c>
      <c r="I15" s="13">
        <f t="shared" si="2"/>
        <v>30602</v>
      </c>
      <c r="J15" s="14">
        <v>505</v>
      </c>
      <c r="K15" s="13">
        <f t="shared" si="3"/>
        <v>32825</v>
      </c>
      <c r="L15" s="11">
        <f>G15-'20'!D15</f>
        <v>10</v>
      </c>
      <c r="M15" s="13">
        <f t="shared" si="4"/>
        <v>5050</v>
      </c>
    </row>
    <row r="16" spans="1:13">
      <c r="A16" s="7" t="s">
        <v>22</v>
      </c>
      <c r="B16" s="8" t="s">
        <v>21</v>
      </c>
      <c r="C16" s="9">
        <v>20</v>
      </c>
      <c r="D16" s="10">
        <v>39</v>
      </c>
      <c r="E16" s="11"/>
      <c r="F16" s="9">
        <f t="shared" si="0"/>
        <v>0</v>
      </c>
      <c r="G16" s="11">
        <f t="shared" si="1"/>
        <v>39</v>
      </c>
      <c r="H16" s="12">
        <v>470.8</v>
      </c>
      <c r="I16" s="13">
        <f t="shared" si="2"/>
        <v>18361.2</v>
      </c>
      <c r="J16" s="14">
        <v>505</v>
      </c>
      <c r="K16" s="13">
        <f t="shared" si="3"/>
        <v>19695</v>
      </c>
      <c r="L16" s="11">
        <f>G16-'20'!D16</f>
        <v>5</v>
      </c>
      <c r="M16" s="13">
        <f t="shared" si="4"/>
        <v>2525</v>
      </c>
    </row>
    <row r="17" spans="1:13">
      <c r="A17" s="7" t="s">
        <v>22</v>
      </c>
      <c r="B17" s="8" t="s">
        <v>29</v>
      </c>
      <c r="C17" s="9">
        <v>11</v>
      </c>
      <c r="D17" s="10">
        <v>156</v>
      </c>
      <c r="E17" s="11"/>
      <c r="F17" s="9">
        <f t="shared" si="0"/>
        <v>0</v>
      </c>
      <c r="G17" s="11">
        <f t="shared" si="1"/>
        <v>156</v>
      </c>
      <c r="H17" s="12">
        <v>235.59</v>
      </c>
      <c r="I17" s="13">
        <f t="shared" si="2"/>
        <v>36752.04</v>
      </c>
      <c r="J17" s="14">
        <v>250</v>
      </c>
      <c r="K17" s="13">
        <f t="shared" si="3"/>
        <v>39000</v>
      </c>
      <c r="L17" s="11">
        <f>G17-'20'!D17</f>
        <v>4</v>
      </c>
      <c r="M17" s="13">
        <f t="shared" si="4"/>
        <v>1000</v>
      </c>
    </row>
    <row r="18" spans="1:13">
      <c r="A18" s="7" t="s">
        <v>22</v>
      </c>
      <c r="B18" s="8" t="s">
        <v>28</v>
      </c>
      <c r="C18" s="9">
        <v>20</v>
      </c>
      <c r="D18" s="10">
        <v>0</v>
      </c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f>G18-'20'!D18</f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>
        <v>51</v>
      </c>
      <c r="E19" s="11"/>
      <c r="F19" s="9">
        <f t="shared" si="0"/>
        <v>0</v>
      </c>
      <c r="G19" s="11">
        <f t="shared" si="1"/>
        <v>51</v>
      </c>
      <c r="H19" s="12">
        <v>204</v>
      </c>
      <c r="I19" s="13">
        <f t="shared" si="2"/>
        <v>10404</v>
      </c>
      <c r="J19" s="14">
        <v>230</v>
      </c>
      <c r="K19" s="13">
        <f t="shared" si="3"/>
        <v>11730</v>
      </c>
      <c r="L19" s="11">
        <f>G19-'20'!D19</f>
        <v>17</v>
      </c>
      <c r="M19" s="13">
        <f t="shared" si="4"/>
        <v>3910</v>
      </c>
    </row>
    <row r="20" spans="1:13">
      <c r="A20" s="7" t="s">
        <v>22</v>
      </c>
      <c r="B20" s="8" t="s">
        <v>25</v>
      </c>
      <c r="C20" s="9">
        <v>10</v>
      </c>
      <c r="D20" s="10">
        <v>54</v>
      </c>
      <c r="E20" s="11"/>
      <c r="F20" s="9">
        <f t="shared" si="0"/>
        <v>0</v>
      </c>
      <c r="G20" s="11">
        <f t="shared" si="1"/>
        <v>54</v>
      </c>
      <c r="H20" s="12">
        <v>204</v>
      </c>
      <c r="I20" s="13">
        <f>H20*D20</f>
        <v>11016</v>
      </c>
      <c r="J20" s="14">
        <v>230</v>
      </c>
      <c r="K20" s="13">
        <f t="shared" si="3"/>
        <v>12420</v>
      </c>
      <c r="L20" s="11">
        <f>G20-'20'!D20</f>
        <v>10</v>
      </c>
      <c r="M20" s="13">
        <f t="shared" si="4"/>
        <v>2300</v>
      </c>
    </row>
    <row r="21" spans="1:13">
      <c r="A21" s="7" t="s">
        <v>22</v>
      </c>
      <c r="B21" s="8" t="s">
        <v>26</v>
      </c>
      <c r="C21" s="9">
        <v>10</v>
      </c>
      <c r="D21" s="10">
        <v>13</v>
      </c>
      <c r="E21" s="11"/>
      <c r="F21" s="9">
        <f t="shared" si="0"/>
        <v>0</v>
      </c>
      <c r="G21" s="11">
        <f t="shared" si="1"/>
        <v>13</v>
      </c>
      <c r="H21" s="12">
        <v>204</v>
      </c>
      <c r="I21" s="13">
        <f t="shared" si="2"/>
        <v>2652</v>
      </c>
      <c r="J21" s="14">
        <v>230</v>
      </c>
      <c r="K21" s="13">
        <f t="shared" si="3"/>
        <v>2990</v>
      </c>
      <c r="L21" s="11">
        <f>G21-'20'!D21</f>
        <v>1</v>
      </c>
      <c r="M21" s="13">
        <f t="shared" si="4"/>
        <v>230</v>
      </c>
    </row>
    <row r="22" spans="1:13">
      <c r="A22" s="7" t="s">
        <v>22</v>
      </c>
      <c r="B22" s="8" t="s">
        <v>13</v>
      </c>
      <c r="C22" s="9">
        <v>19</v>
      </c>
      <c r="D22" s="10">
        <v>37</v>
      </c>
      <c r="E22" s="11"/>
      <c r="F22" s="9">
        <f t="shared" si="0"/>
        <v>0</v>
      </c>
      <c r="G22" s="11">
        <f t="shared" si="1"/>
        <v>37</v>
      </c>
      <c r="H22" s="12">
        <v>474.46</v>
      </c>
      <c r="I22" s="13">
        <f t="shared" si="2"/>
        <v>17555.02</v>
      </c>
      <c r="J22" s="14">
        <v>505</v>
      </c>
      <c r="K22" s="13">
        <f t="shared" si="3"/>
        <v>18685</v>
      </c>
      <c r="L22" s="11">
        <f>G22-'20'!D22</f>
        <v>22</v>
      </c>
      <c r="M22" s="13">
        <f t="shared" si="4"/>
        <v>11110</v>
      </c>
    </row>
    <row r="23" spans="1:13">
      <c r="A23" s="7" t="s">
        <v>22</v>
      </c>
      <c r="B23" s="8" t="s">
        <v>27</v>
      </c>
      <c r="C23" s="9">
        <v>24</v>
      </c>
      <c r="D23" s="10">
        <v>26</v>
      </c>
      <c r="E23" s="11"/>
      <c r="F23" s="9">
        <f t="shared" si="0"/>
        <v>0</v>
      </c>
      <c r="G23" s="11">
        <f t="shared" si="1"/>
        <v>26</v>
      </c>
      <c r="H23" s="12">
        <v>593.91999999999996</v>
      </c>
      <c r="I23" s="13">
        <f t="shared" si="2"/>
        <v>15441.919999999998</v>
      </c>
      <c r="J23" s="14">
        <v>630</v>
      </c>
      <c r="K23" s="13">
        <f t="shared" si="3"/>
        <v>16380</v>
      </c>
      <c r="L23" s="11">
        <f>G23-'20'!D23</f>
        <v>18</v>
      </c>
      <c r="M23" s="13">
        <f t="shared" si="4"/>
        <v>11340</v>
      </c>
    </row>
    <row r="24" spans="1:13">
      <c r="A24" s="7" t="s">
        <v>30</v>
      </c>
      <c r="B24" s="8" t="s">
        <v>17</v>
      </c>
      <c r="C24" s="9">
        <v>25</v>
      </c>
      <c r="D24" s="10">
        <v>85</v>
      </c>
      <c r="E24" s="10"/>
      <c r="F24" s="9">
        <f t="shared" si="0"/>
        <v>0</v>
      </c>
      <c r="G24" s="11">
        <f t="shared" si="1"/>
        <v>85</v>
      </c>
      <c r="H24" s="12">
        <v>453.3</v>
      </c>
      <c r="I24" s="13">
        <f t="shared" si="2"/>
        <v>38530.5</v>
      </c>
      <c r="J24" s="14">
        <v>493</v>
      </c>
      <c r="K24" s="13">
        <f t="shared" si="3"/>
        <v>41905</v>
      </c>
      <c r="L24" s="11">
        <f>G24-'20'!D24</f>
        <v>10</v>
      </c>
      <c r="M24" s="13">
        <f t="shared" si="4"/>
        <v>4930</v>
      </c>
    </row>
    <row r="25" spans="1:13">
      <c r="A25" s="7" t="s">
        <v>30</v>
      </c>
      <c r="B25" s="8" t="s">
        <v>18</v>
      </c>
      <c r="C25" s="9">
        <v>25</v>
      </c>
      <c r="D25" s="10">
        <v>54</v>
      </c>
      <c r="E25" s="10"/>
      <c r="F25" s="9">
        <f t="shared" si="0"/>
        <v>0</v>
      </c>
      <c r="G25" s="11">
        <f t="shared" si="1"/>
        <v>54</v>
      </c>
      <c r="H25" s="12">
        <v>453.3</v>
      </c>
      <c r="I25" s="13">
        <f t="shared" si="2"/>
        <v>24478.2</v>
      </c>
      <c r="J25" s="14">
        <v>493</v>
      </c>
      <c r="K25" s="13">
        <f t="shared" si="3"/>
        <v>26622</v>
      </c>
      <c r="L25" s="11">
        <f>G25-'20'!D25</f>
        <v>0</v>
      </c>
      <c r="M25" s="13">
        <f t="shared" si="4"/>
        <v>0</v>
      </c>
    </row>
    <row r="26" spans="1:13">
      <c r="A26" s="7" t="s">
        <v>55</v>
      </c>
      <c r="B26" s="7" t="s">
        <v>17</v>
      </c>
      <c r="C26" s="9">
        <v>70</v>
      </c>
      <c r="D26" s="10">
        <v>0</v>
      </c>
      <c r="E26" s="10"/>
      <c r="F26" s="9">
        <f t="shared" si="0"/>
        <v>0</v>
      </c>
      <c r="G26" s="11">
        <f t="shared" si="1"/>
        <v>0</v>
      </c>
      <c r="H26" s="12">
        <v>959.04</v>
      </c>
      <c r="I26" s="13">
        <f t="shared" si="2"/>
        <v>0</v>
      </c>
      <c r="J26" s="14">
        <v>1010</v>
      </c>
      <c r="K26" s="13">
        <f t="shared" si="3"/>
        <v>0</v>
      </c>
      <c r="L26" s="11">
        <f>G26-'20'!D26</f>
        <v>0</v>
      </c>
      <c r="M26" s="13">
        <f t="shared" si="4"/>
        <v>0</v>
      </c>
    </row>
    <row r="27" spans="1:13">
      <c r="A27" s="7" t="s">
        <v>55</v>
      </c>
      <c r="B27" s="8" t="s">
        <v>18</v>
      </c>
      <c r="C27" s="9">
        <v>70</v>
      </c>
      <c r="D27" s="10">
        <v>0</v>
      </c>
      <c r="E27" s="10"/>
      <c r="F27" s="9">
        <f t="shared" si="0"/>
        <v>0</v>
      </c>
      <c r="G27" s="11">
        <f t="shared" si="1"/>
        <v>0</v>
      </c>
      <c r="H27" s="12">
        <v>959.04</v>
      </c>
      <c r="I27" s="13">
        <f t="shared" si="2"/>
        <v>0</v>
      </c>
      <c r="J27" s="14">
        <v>1010</v>
      </c>
      <c r="K27" s="13">
        <f t="shared" si="3"/>
        <v>0</v>
      </c>
      <c r="L27" s="11">
        <f>G27-'20'!D27</f>
        <v>0</v>
      </c>
      <c r="M27" s="13">
        <f t="shared" si="4"/>
        <v>0</v>
      </c>
    </row>
    <row r="28" spans="1:13">
      <c r="A28" s="7" t="s">
        <v>55</v>
      </c>
      <c r="B28" s="8" t="s">
        <v>21</v>
      </c>
      <c r="C28" s="9">
        <v>70</v>
      </c>
      <c r="D28" s="10">
        <v>0</v>
      </c>
      <c r="E28" s="10"/>
      <c r="F28" s="9">
        <f t="shared" si="0"/>
        <v>0</v>
      </c>
      <c r="G28" s="11">
        <f t="shared" si="1"/>
        <v>0</v>
      </c>
      <c r="H28" s="12">
        <v>959.04</v>
      </c>
      <c r="I28" s="13">
        <f t="shared" si="2"/>
        <v>0</v>
      </c>
      <c r="J28" s="14">
        <v>1010</v>
      </c>
      <c r="K28" s="13">
        <f t="shared" si="3"/>
        <v>0</v>
      </c>
      <c r="L28" s="11">
        <f>G28-'20'!D28</f>
        <v>0</v>
      </c>
      <c r="M28" s="13">
        <f t="shared" si="4"/>
        <v>0</v>
      </c>
    </row>
    <row r="29" spans="1:13">
      <c r="A29" s="7" t="s">
        <v>31</v>
      </c>
      <c r="B29" s="7" t="s">
        <v>17</v>
      </c>
      <c r="C29" s="9">
        <v>40</v>
      </c>
      <c r="D29" s="10">
        <v>0</v>
      </c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f>G29-'20'!D29</f>
        <v>0</v>
      </c>
      <c r="M29" s="13">
        <f t="shared" si="4"/>
        <v>0</v>
      </c>
    </row>
    <row r="30" spans="1:13">
      <c r="A30" s="7" t="s">
        <v>31</v>
      </c>
      <c r="B30" s="7" t="s">
        <v>18</v>
      </c>
      <c r="C30" s="9">
        <v>40</v>
      </c>
      <c r="D30" s="10">
        <v>0</v>
      </c>
      <c r="E30" s="10"/>
      <c r="F30" s="9">
        <f t="shared" si="0"/>
        <v>0</v>
      </c>
      <c r="G30" s="11">
        <f t="shared" si="1"/>
        <v>0</v>
      </c>
      <c r="H30" s="12">
        <v>821.36</v>
      </c>
      <c r="I30" s="13">
        <f t="shared" si="2"/>
        <v>0</v>
      </c>
      <c r="J30" s="14">
        <v>878</v>
      </c>
      <c r="K30" s="13">
        <f t="shared" si="3"/>
        <v>0</v>
      </c>
      <c r="L30" s="11">
        <f>G30-'20'!D30</f>
        <v>0</v>
      </c>
      <c r="M30" s="13">
        <f t="shared" si="4"/>
        <v>0</v>
      </c>
    </row>
    <row r="31" spans="1:13">
      <c r="A31" s="7" t="s">
        <v>31</v>
      </c>
      <c r="B31" s="7" t="s">
        <v>19</v>
      </c>
      <c r="C31" s="9">
        <v>40</v>
      </c>
      <c r="D31" s="10">
        <v>0</v>
      </c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f>G31-'20'!D31</f>
        <v>0</v>
      </c>
      <c r="M31" s="13">
        <f t="shared" si="4"/>
        <v>0</v>
      </c>
    </row>
    <row r="32" spans="1:13">
      <c r="A32" s="7" t="s">
        <v>31</v>
      </c>
      <c r="B32" s="7" t="s">
        <v>20</v>
      </c>
      <c r="C32" s="9">
        <v>40</v>
      </c>
      <c r="D32" s="10">
        <v>0</v>
      </c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f>G32-'20'!D32</f>
        <v>0</v>
      </c>
      <c r="M32" s="13">
        <f t="shared" si="4"/>
        <v>0</v>
      </c>
    </row>
    <row r="33" spans="1:13">
      <c r="A33" s="7" t="s">
        <v>31</v>
      </c>
      <c r="B33" s="7" t="s">
        <v>21</v>
      </c>
      <c r="C33" s="9">
        <v>40</v>
      </c>
      <c r="D33" s="10">
        <v>0</v>
      </c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f>G33-'20'!D33</f>
        <v>0</v>
      </c>
      <c r="M33" s="13">
        <f t="shared" si="4"/>
        <v>0</v>
      </c>
    </row>
    <row r="34" spans="1:13">
      <c r="A34" s="7" t="s">
        <v>31</v>
      </c>
      <c r="B34" s="7" t="s">
        <v>32</v>
      </c>
      <c r="C34" s="9">
        <v>40</v>
      </c>
      <c r="D34" s="10">
        <v>0</v>
      </c>
      <c r="E34" s="10"/>
      <c r="F34" s="9">
        <f t="shared" si="0"/>
        <v>0</v>
      </c>
      <c r="G34" s="11">
        <f t="shared" si="1"/>
        <v>0</v>
      </c>
      <c r="H34" s="12">
        <v>817.58</v>
      </c>
      <c r="I34" s="13">
        <f t="shared" si="2"/>
        <v>0</v>
      </c>
      <c r="J34" s="14">
        <v>878</v>
      </c>
      <c r="K34" s="13">
        <f t="shared" si="3"/>
        <v>0</v>
      </c>
      <c r="L34" s="11">
        <f>G34-'20'!D34</f>
        <v>0</v>
      </c>
      <c r="M34" s="13">
        <f t="shared" si="4"/>
        <v>0</v>
      </c>
    </row>
    <row r="35" spans="1:13">
      <c r="A35" s="7" t="s">
        <v>31</v>
      </c>
      <c r="B35" s="7" t="s">
        <v>33</v>
      </c>
      <c r="C35" s="9">
        <v>60</v>
      </c>
      <c r="D35" s="10">
        <v>234</v>
      </c>
      <c r="E35" s="10"/>
      <c r="F35" s="9">
        <f t="shared" si="0"/>
        <v>0</v>
      </c>
      <c r="G35" s="11">
        <f t="shared" si="1"/>
        <v>234</v>
      </c>
      <c r="H35" s="12">
        <v>1042.6500000000001</v>
      </c>
      <c r="I35" s="13">
        <f t="shared" si="2"/>
        <v>243980.10000000003</v>
      </c>
      <c r="J35" s="14">
        <v>1110</v>
      </c>
      <c r="K35" s="13">
        <f t="shared" si="3"/>
        <v>259740</v>
      </c>
      <c r="L35" s="11">
        <f>G35-'20'!D35</f>
        <v>15</v>
      </c>
      <c r="M35" s="13">
        <f t="shared" si="4"/>
        <v>16650</v>
      </c>
    </row>
    <row r="36" spans="1:13">
      <c r="A36" s="7" t="s">
        <v>34</v>
      </c>
      <c r="B36" s="7" t="s">
        <v>35</v>
      </c>
      <c r="C36" s="9">
        <v>7</v>
      </c>
      <c r="D36" s="10">
        <v>25</v>
      </c>
      <c r="E36" s="10"/>
      <c r="F36" s="9">
        <f t="shared" si="0"/>
        <v>0</v>
      </c>
      <c r="G36" s="11">
        <f t="shared" si="1"/>
        <v>25</v>
      </c>
      <c r="H36" s="12">
        <v>126.24</v>
      </c>
      <c r="I36" s="13">
        <f t="shared" si="2"/>
        <v>3156</v>
      </c>
      <c r="J36" s="14">
        <v>140</v>
      </c>
      <c r="K36" s="13">
        <f t="shared" si="3"/>
        <v>3500</v>
      </c>
      <c r="L36" s="11">
        <f>G36-'20'!D36</f>
        <v>0</v>
      </c>
      <c r="M36" s="13">
        <f t="shared" si="4"/>
        <v>0</v>
      </c>
    </row>
    <row r="37" spans="1:13">
      <c r="A37" s="7" t="s">
        <v>36</v>
      </c>
      <c r="B37" s="7" t="s">
        <v>37</v>
      </c>
      <c r="C37" s="9">
        <v>125</v>
      </c>
      <c r="D37" s="10">
        <v>35</v>
      </c>
      <c r="E37" s="10"/>
      <c r="F37" s="9">
        <f t="shared" si="0"/>
        <v>0</v>
      </c>
      <c r="G37" s="11">
        <f t="shared" si="1"/>
        <v>35</v>
      </c>
      <c r="H37" s="12">
        <v>2050.54</v>
      </c>
      <c r="I37" s="13">
        <f t="shared" si="2"/>
        <v>71768.899999999994</v>
      </c>
      <c r="J37" s="14">
        <v>2175</v>
      </c>
      <c r="K37" s="13">
        <f t="shared" si="3"/>
        <v>76125</v>
      </c>
      <c r="L37" s="11">
        <f>G37-'20'!D37</f>
        <v>5</v>
      </c>
      <c r="M37" s="13">
        <f t="shared" si="4"/>
        <v>10875</v>
      </c>
    </row>
    <row r="38" spans="1:13">
      <c r="A38" s="7" t="s">
        <v>38</v>
      </c>
      <c r="B38" s="7" t="s">
        <v>17</v>
      </c>
      <c r="C38" s="9">
        <v>20</v>
      </c>
      <c r="D38" s="10">
        <v>0</v>
      </c>
      <c r="E38" s="10"/>
      <c r="F38" s="9">
        <f t="shared" si="0"/>
        <v>0</v>
      </c>
      <c r="G38" s="11">
        <f t="shared" si="1"/>
        <v>0</v>
      </c>
      <c r="H38" s="12">
        <v>399.19</v>
      </c>
      <c r="I38" s="13">
        <f t="shared" si="2"/>
        <v>0</v>
      </c>
      <c r="J38" s="14">
        <v>420</v>
      </c>
      <c r="K38" s="13">
        <f t="shared" si="3"/>
        <v>0</v>
      </c>
      <c r="L38" s="11">
        <f>G38-'20'!D38</f>
        <v>0</v>
      </c>
      <c r="M38" s="13">
        <f t="shared" si="4"/>
        <v>0</v>
      </c>
    </row>
    <row r="39" spans="1:13">
      <c r="A39" s="7" t="s">
        <v>38</v>
      </c>
      <c r="B39" s="7" t="s">
        <v>18</v>
      </c>
      <c r="C39" s="9">
        <v>20</v>
      </c>
      <c r="D39" s="10">
        <v>0</v>
      </c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f>G39-'20'!D39</f>
        <v>0</v>
      </c>
      <c r="M39" s="13">
        <f t="shared" si="4"/>
        <v>0</v>
      </c>
    </row>
    <row r="40" spans="1:13">
      <c r="A40" s="7" t="s">
        <v>38</v>
      </c>
      <c r="B40" s="7" t="s">
        <v>21</v>
      </c>
      <c r="C40" s="9">
        <v>20</v>
      </c>
      <c r="D40" s="10">
        <v>0</v>
      </c>
      <c r="E40" s="10"/>
      <c r="F40" s="9">
        <f t="shared" si="0"/>
        <v>0</v>
      </c>
      <c r="G40" s="11">
        <f t="shared" si="1"/>
        <v>0</v>
      </c>
      <c r="H40" s="12">
        <v>399.19</v>
      </c>
      <c r="I40" s="13">
        <f t="shared" si="2"/>
        <v>0</v>
      </c>
      <c r="J40" s="14">
        <v>420</v>
      </c>
      <c r="K40" s="13">
        <f t="shared" si="3"/>
        <v>0</v>
      </c>
      <c r="L40" s="11">
        <f>G40-'20'!D40</f>
        <v>0</v>
      </c>
      <c r="M40" s="13">
        <f t="shared" si="4"/>
        <v>0</v>
      </c>
    </row>
    <row r="41" spans="1:13">
      <c r="A41" s="7" t="s">
        <v>39</v>
      </c>
      <c r="B41" s="7" t="s">
        <v>35</v>
      </c>
      <c r="C41" s="9">
        <v>9</v>
      </c>
      <c r="D41" s="10">
        <v>24</v>
      </c>
      <c r="E41" s="10"/>
      <c r="F41" s="9">
        <f t="shared" si="0"/>
        <v>0</v>
      </c>
      <c r="G41" s="11">
        <f t="shared" si="1"/>
        <v>24</v>
      </c>
      <c r="H41" s="12">
        <v>174.19</v>
      </c>
      <c r="I41" s="13">
        <f t="shared" si="2"/>
        <v>4180.5599999999995</v>
      </c>
      <c r="J41" s="14">
        <v>185</v>
      </c>
      <c r="K41" s="13">
        <f t="shared" si="3"/>
        <v>4440</v>
      </c>
      <c r="L41" s="11">
        <f>G41-'20'!D41</f>
        <v>0</v>
      </c>
      <c r="M41" s="13">
        <f t="shared" si="4"/>
        <v>0</v>
      </c>
    </row>
    <row r="42" spans="1:13">
      <c r="A42" s="7" t="s">
        <v>40</v>
      </c>
      <c r="B42" s="7" t="s">
        <v>13</v>
      </c>
      <c r="C42" s="9">
        <v>35</v>
      </c>
      <c r="D42" s="10">
        <v>46</v>
      </c>
      <c r="E42" s="10"/>
      <c r="F42" s="9">
        <f t="shared" si="0"/>
        <v>0</v>
      </c>
      <c r="G42" s="11">
        <f t="shared" si="1"/>
        <v>46</v>
      </c>
      <c r="H42" s="12">
        <v>748.13</v>
      </c>
      <c r="I42" s="13">
        <f t="shared" si="2"/>
        <v>34413.980000000003</v>
      </c>
      <c r="J42" s="14">
        <v>795</v>
      </c>
      <c r="K42" s="13">
        <f t="shared" si="3"/>
        <v>36570</v>
      </c>
      <c r="L42" s="11">
        <f>G42-'20'!D42</f>
        <v>4</v>
      </c>
      <c r="M42" s="13">
        <f t="shared" si="4"/>
        <v>3180</v>
      </c>
    </row>
    <row r="43" spans="1:13">
      <c r="A43" s="7" t="s">
        <v>41</v>
      </c>
      <c r="B43" s="7" t="s">
        <v>17</v>
      </c>
      <c r="C43" s="9">
        <v>40</v>
      </c>
      <c r="D43" s="10">
        <v>43</v>
      </c>
      <c r="E43" s="10"/>
      <c r="F43" s="9">
        <f t="shared" si="0"/>
        <v>0</v>
      </c>
      <c r="G43" s="11">
        <f t="shared" si="1"/>
        <v>43</v>
      </c>
      <c r="H43" s="12">
        <v>842.86</v>
      </c>
      <c r="I43" s="13">
        <f t="shared" si="2"/>
        <v>36242.980000000003</v>
      </c>
      <c r="J43" s="14">
        <v>900</v>
      </c>
      <c r="K43" s="13">
        <f t="shared" si="3"/>
        <v>38700</v>
      </c>
      <c r="L43" s="11">
        <f>G43-'20'!D43</f>
        <v>8</v>
      </c>
      <c r="M43" s="13">
        <f t="shared" si="4"/>
        <v>7200</v>
      </c>
    </row>
    <row r="44" spans="1:13">
      <c r="A44" s="7" t="s">
        <v>41</v>
      </c>
      <c r="B44" s="7" t="s">
        <v>18</v>
      </c>
      <c r="C44" s="9">
        <v>40</v>
      </c>
      <c r="D44" s="10">
        <v>32</v>
      </c>
      <c r="E44" s="10"/>
      <c r="F44" s="9">
        <f t="shared" si="0"/>
        <v>0</v>
      </c>
      <c r="G44" s="11">
        <f t="shared" si="1"/>
        <v>32</v>
      </c>
      <c r="H44" s="12">
        <v>842.86</v>
      </c>
      <c r="I44" s="13">
        <f t="shared" si="2"/>
        <v>26971.52</v>
      </c>
      <c r="J44" s="14">
        <v>900</v>
      </c>
      <c r="K44" s="13">
        <f t="shared" si="3"/>
        <v>28800</v>
      </c>
      <c r="L44" s="11">
        <f>G44-'20'!D44</f>
        <v>4</v>
      </c>
      <c r="M44" s="13">
        <f t="shared" si="4"/>
        <v>3600</v>
      </c>
    </row>
    <row r="45" spans="1:13">
      <c r="A45" s="7" t="s">
        <v>41</v>
      </c>
      <c r="B45" s="7" t="s">
        <v>19</v>
      </c>
      <c r="C45" s="9">
        <v>40</v>
      </c>
      <c r="D45" s="10">
        <v>0</v>
      </c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f>G45-'20'!D45</f>
        <v>0</v>
      </c>
      <c r="M45" s="13">
        <f t="shared" si="4"/>
        <v>0</v>
      </c>
    </row>
    <row r="46" spans="1:13">
      <c r="A46" s="7" t="s">
        <v>41</v>
      </c>
      <c r="B46" s="7" t="s">
        <v>20</v>
      </c>
      <c r="C46" s="9">
        <v>40</v>
      </c>
      <c r="D46" s="10">
        <v>0</v>
      </c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f>G46-'20'!D46</f>
        <v>0</v>
      </c>
      <c r="M46" s="13">
        <f t="shared" si="4"/>
        <v>0</v>
      </c>
    </row>
    <row r="47" spans="1:13">
      <c r="A47" s="7" t="s">
        <v>41</v>
      </c>
      <c r="B47" s="7" t="s">
        <v>21</v>
      </c>
      <c r="C47" s="9">
        <v>40</v>
      </c>
      <c r="D47" s="10">
        <v>0</v>
      </c>
      <c r="E47" s="10"/>
      <c r="F47" s="9">
        <f t="shared" si="0"/>
        <v>0</v>
      </c>
      <c r="G47" s="11">
        <f t="shared" si="1"/>
        <v>0</v>
      </c>
      <c r="H47" s="12">
        <v>839.68</v>
      </c>
      <c r="I47" s="13">
        <f t="shared" si="2"/>
        <v>0</v>
      </c>
      <c r="J47" s="14">
        <v>900</v>
      </c>
      <c r="K47" s="13">
        <f t="shared" si="3"/>
        <v>0</v>
      </c>
      <c r="L47" s="11">
        <f>G47-'20'!D47</f>
        <v>0</v>
      </c>
      <c r="M47" s="13">
        <f t="shared" si="4"/>
        <v>0</v>
      </c>
    </row>
    <row r="48" spans="1:13">
      <c r="A48" s="7" t="s">
        <v>42</v>
      </c>
      <c r="B48" s="7" t="s">
        <v>29</v>
      </c>
      <c r="C48" s="9">
        <v>18</v>
      </c>
      <c r="D48" s="10">
        <v>55</v>
      </c>
      <c r="E48" s="10"/>
      <c r="F48" s="9">
        <f t="shared" si="0"/>
        <v>0</v>
      </c>
      <c r="G48" s="11">
        <f t="shared" si="1"/>
        <v>55</v>
      </c>
      <c r="H48" s="12">
        <v>375.68</v>
      </c>
      <c r="I48" s="13">
        <f t="shared" si="2"/>
        <v>20662.400000000001</v>
      </c>
      <c r="J48" s="14">
        <v>400</v>
      </c>
      <c r="K48" s="13">
        <f t="shared" si="3"/>
        <v>22000</v>
      </c>
      <c r="L48" s="11">
        <f>G48-'20'!D48</f>
        <v>5</v>
      </c>
      <c r="M48" s="13">
        <f t="shared" si="4"/>
        <v>2000</v>
      </c>
    </row>
    <row r="49" spans="1:13">
      <c r="A49" s="7" t="s">
        <v>54</v>
      </c>
      <c r="B49" s="7" t="s">
        <v>44</v>
      </c>
      <c r="C49" s="9">
        <v>50</v>
      </c>
      <c r="D49" s="10">
        <v>0</v>
      </c>
      <c r="E49" s="11"/>
      <c r="F49" s="9">
        <f t="shared" si="0"/>
        <v>0</v>
      </c>
      <c r="G49" s="11">
        <f t="shared" si="1"/>
        <v>0</v>
      </c>
      <c r="H49" s="12">
        <v>670.32</v>
      </c>
      <c r="I49" s="13">
        <f t="shared" si="2"/>
        <v>0</v>
      </c>
      <c r="J49" s="14">
        <v>710</v>
      </c>
      <c r="K49" s="13">
        <f t="shared" si="3"/>
        <v>0</v>
      </c>
      <c r="L49" s="11">
        <f>G49-'20'!D49</f>
        <v>0</v>
      </c>
      <c r="M49" s="13">
        <f t="shared" si="4"/>
        <v>0</v>
      </c>
    </row>
    <row r="50" spans="1:13">
      <c r="A50" s="7" t="s">
        <v>43</v>
      </c>
      <c r="B50" s="7" t="s">
        <v>17</v>
      </c>
      <c r="C50" s="9">
        <v>50</v>
      </c>
      <c r="D50" s="10">
        <v>42</v>
      </c>
      <c r="E50" s="10"/>
      <c r="F50" s="9">
        <f t="shared" si="0"/>
        <v>0</v>
      </c>
      <c r="G50" s="11">
        <f t="shared" si="1"/>
        <v>42</v>
      </c>
      <c r="H50" s="12">
        <v>661.22</v>
      </c>
      <c r="I50" s="13">
        <f t="shared" si="2"/>
        <v>27771.24</v>
      </c>
      <c r="J50" s="14">
        <v>710</v>
      </c>
      <c r="K50" s="13">
        <f t="shared" si="3"/>
        <v>29820</v>
      </c>
      <c r="L50" s="11">
        <f>G50-'20'!D50</f>
        <v>23</v>
      </c>
      <c r="M50" s="13">
        <f t="shared" si="4"/>
        <v>16330</v>
      </c>
    </row>
    <row r="51" spans="1:13">
      <c r="A51" s="7" t="s">
        <v>43</v>
      </c>
      <c r="B51" s="7" t="s">
        <v>18</v>
      </c>
      <c r="C51" s="9">
        <v>50</v>
      </c>
      <c r="D51" s="10">
        <v>21</v>
      </c>
      <c r="E51" s="10"/>
      <c r="F51" s="9">
        <f t="shared" si="0"/>
        <v>0</v>
      </c>
      <c r="G51" s="11">
        <f t="shared" si="1"/>
        <v>21</v>
      </c>
      <c r="H51" s="12">
        <v>661.22</v>
      </c>
      <c r="I51" s="13">
        <f t="shared" si="2"/>
        <v>13885.62</v>
      </c>
      <c r="J51" s="14">
        <v>710</v>
      </c>
      <c r="K51" s="13">
        <f t="shared" si="3"/>
        <v>14910</v>
      </c>
      <c r="L51" s="11">
        <f>G51-'20'!D51</f>
        <v>9</v>
      </c>
      <c r="M51" s="13">
        <f t="shared" si="4"/>
        <v>6390</v>
      </c>
    </row>
    <row r="52" spans="1:13">
      <c r="A52" s="7" t="s">
        <v>43</v>
      </c>
      <c r="B52" s="7" t="s">
        <v>19</v>
      </c>
      <c r="C52" s="9">
        <v>50</v>
      </c>
      <c r="D52" s="10">
        <v>0</v>
      </c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f>G52-'20'!D52</f>
        <v>0</v>
      </c>
      <c r="M52" s="13">
        <f t="shared" si="4"/>
        <v>0</v>
      </c>
    </row>
    <row r="53" spans="1:13">
      <c r="A53" s="7" t="s">
        <v>43</v>
      </c>
      <c r="B53" s="7" t="s">
        <v>20</v>
      </c>
      <c r="C53" s="9">
        <v>50</v>
      </c>
      <c r="D53" s="10">
        <v>0</v>
      </c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f>G53-'20'!D53</f>
        <v>0</v>
      </c>
      <c r="M53" s="13">
        <f t="shared" si="4"/>
        <v>0</v>
      </c>
    </row>
    <row r="54" spans="1:13">
      <c r="A54" s="7" t="s">
        <v>43</v>
      </c>
      <c r="B54" s="7" t="s">
        <v>21</v>
      </c>
      <c r="C54" s="9">
        <v>50</v>
      </c>
      <c r="D54" s="10">
        <v>0</v>
      </c>
      <c r="E54" s="10"/>
      <c r="F54" s="9">
        <f t="shared" si="0"/>
        <v>0</v>
      </c>
      <c r="G54" s="11">
        <f t="shared" si="1"/>
        <v>0</v>
      </c>
      <c r="H54" s="12">
        <v>661.22</v>
      </c>
      <c r="I54" s="13">
        <f t="shared" si="2"/>
        <v>0</v>
      </c>
      <c r="J54" s="14">
        <v>710</v>
      </c>
      <c r="K54" s="13">
        <f t="shared" si="3"/>
        <v>0</v>
      </c>
      <c r="L54" s="11">
        <f>G54-'20'!D54</f>
        <v>0</v>
      </c>
      <c r="M54" s="13">
        <f t="shared" si="4"/>
        <v>0</v>
      </c>
    </row>
    <row r="55" spans="1:13">
      <c r="A55" s="7" t="s">
        <v>43</v>
      </c>
      <c r="B55" s="7" t="s">
        <v>44</v>
      </c>
      <c r="C55" s="9">
        <v>85</v>
      </c>
      <c r="D55" s="10">
        <v>3</v>
      </c>
      <c r="E55" s="10"/>
      <c r="F55" s="9">
        <f t="shared" si="0"/>
        <v>0</v>
      </c>
      <c r="G55" s="11">
        <f t="shared" si="1"/>
        <v>3</v>
      </c>
      <c r="H55" s="12">
        <v>797.07</v>
      </c>
      <c r="I55" s="13">
        <f t="shared" si="2"/>
        <v>2391.21</v>
      </c>
      <c r="J55" s="14">
        <v>845</v>
      </c>
      <c r="K55" s="13">
        <f t="shared" si="3"/>
        <v>2535</v>
      </c>
      <c r="L55" s="11">
        <f>G55-'20'!D55</f>
        <v>0</v>
      </c>
      <c r="M55" s="13">
        <f t="shared" si="4"/>
        <v>0</v>
      </c>
    </row>
    <row r="56" spans="1:13">
      <c r="A56" s="7" t="s">
        <v>45</v>
      </c>
      <c r="B56" s="7" t="s">
        <v>35</v>
      </c>
      <c r="C56" s="9">
        <v>18</v>
      </c>
      <c r="D56" s="10">
        <v>684</v>
      </c>
      <c r="E56" s="10"/>
      <c r="F56" s="9">
        <f t="shared" si="0"/>
        <v>0</v>
      </c>
      <c r="G56" s="11">
        <f t="shared" si="1"/>
        <v>684</v>
      </c>
      <c r="H56" s="12">
        <v>160.77000000000001</v>
      </c>
      <c r="I56" s="13">
        <f t="shared" si="2"/>
        <v>109966.68000000001</v>
      </c>
      <c r="J56" s="14">
        <v>175</v>
      </c>
      <c r="K56" s="13">
        <f t="shared" si="3"/>
        <v>119700</v>
      </c>
      <c r="L56" s="11">
        <f>G56-'20'!D56</f>
        <v>82</v>
      </c>
      <c r="M56" s="13">
        <f t="shared" si="4"/>
        <v>14350</v>
      </c>
    </row>
    <row r="57" spans="1:13">
      <c r="A57" s="7" t="s">
        <v>46</v>
      </c>
      <c r="B57" s="7" t="s">
        <v>13</v>
      </c>
      <c r="C57" s="9">
        <v>70</v>
      </c>
      <c r="D57" s="10">
        <v>9</v>
      </c>
      <c r="E57" s="10"/>
      <c r="F57" s="9">
        <f t="shared" si="0"/>
        <v>0</v>
      </c>
      <c r="G57" s="11">
        <f t="shared" si="1"/>
        <v>9</v>
      </c>
      <c r="H57" s="12">
        <v>744.99</v>
      </c>
      <c r="I57" s="13">
        <f t="shared" si="2"/>
        <v>6704.91</v>
      </c>
      <c r="J57" s="14">
        <v>790</v>
      </c>
      <c r="K57" s="13">
        <f t="shared" si="3"/>
        <v>7110</v>
      </c>
      <c r="L57" s="11">
        <f>G57-'20'!D57</f>
        <v>0</v>
      </c>
      <c r="M57" s="13">
        <f t="shared" si="4"/>
        <v>0</v>
      </c>
    </row>
    <row r="58" spans="1:13">
      <c r="A58" s="7" t="s">
        <v>47</v>
      </c>
      <c r="B58" s="7" t="s">
        <v>29</v>
      </c>
      <c r="C58" s="9">
        <v>30</v>
      </c>
      <c r="D58" s="10">
        <v>0</v>
      </c>
      <c r="E58" s="10"/>
      <c r="F58" s="9">
        <f t="shared" si="0"/>
        <v>0</v>
      </c>
      <c r="G58" s="11">
        <f t="shared" si="1"/>
        <v>0</v>
      </c>
      <c r="H58" s="12">
        <v>316.14999999999998</v>
      </c>
      <c r="I58" s="13">
        <f t="shared" si="2"/>
        <v>0</v>
      </c>
      <c r="J58" s="14">
        <v>336</v>
      </c>
      <c r="K58" s="13">
        <f t="shared" si="3"/>
        <v>0</v>
      </c>
      <c r="L58" s="11">
        <f>G58-'20'!D58</f>
        <v>0</v>
      </c>
      <c r="M58" s="13">
        <f t="shared" si="4"/>
        <v>0</v>
      </c>
    </row>
    <row r="59" spans="1:13">
      <c r="A59" s="7" t="s">
        <v>48</v>
      </c>
      <c r="B59" s="7" t="s">
        <v>13</v>
      </c>
      <c r="C59" s="9">
        <v>95</v>
      </c>
      <c r="D59" s="10">
        <v>11</v>
      </c>
      <c r="E59" s="10"/>
      <c r="F59" s="9">
        <f t="shared" si="0"/>
        <v>0</v>
      </c>
      <c r="G59" s="11">
        <f t="shared" si="1"/>
        <v>11</v>
      </c>
      <c r="H59" s="12">
        <v>1042.9000000000001</v>
      </c>
      <c r="I59" s="13">
        <f t="shared" si="2"/>
        <v>11471.900000000001</v>
      </c>
      <c r="J59" s="14">
        <v>1105</v>
      </c>
      <c r="K59" s="13">
        <f t="shared" si="3"/>
        <v>12155</v>
      </c>
      <c r="L59" s="11">
        <f>G59-'20'!D59</f>
        <v>5</v>
      </c>
      <c r="M59" s="13">
        <f t="shared" si="4"/>
        <v>5525</v>
      </c>
    </row>
    <row r="60" spans="1:13">
      <c r="A60" s="7" t="s">
        <v>49</v>
      </c>
      <c r="B60" s="7" t="s">
        <v>35</v>
      </c>
      <c r="C60" s="9">
        <v>28</v>
      </c>
      <c r="D60" s="10">
        <v>20</v>
      </c>
      <c r="E60" s="10"/>
      <c r="F60" s="9">
        <f t="shared" si="0"/>
        <v>0</v>
      </c>
      <c r="G60" s="11">
        <f t="shared" si="1"/>
        <v>20</v>
      </c>
      <c r="H60" s="12">
        <v>165.06</v>
      </c>
      <c r="I60" s="13">
        <f t="shared" si="2"/>
        <v>3301.2</v>
      </c>
      <c r="J60" s="14">
        <v>180</v>
      </c>
      <c r="K60" s="13">
        <f t="shared" si="3"/>
        <v>3600</v>
      </c>
      <c r="L60" s="11">
        <f>G60-'20'!D60</f>
        <v>4</v>
      </c>
      <c r="M60" s="13">
        <f t="shared" si="4"/>
        <v>720</v>
      </c>
    </row>
    <row r="61" spans="1:13">
      <c r="A61" s="7" t="s">
        <v>50</v>
      </c>
      <c r="B61" s="7" t="s">
        <v>17</v>
      </c>
      <c r="C61" s="9">
        <v>70</v>
      </c>
      <c r="D61" s="10">
        <v>0</v>
      </c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f>G61-'20'!D61</f>
        <v>0</v>
      </c>
      <c r="M61" s="13">
        <f t="shared" si="4"/>
        <v>0</v>
      </c>
    </row>
    <row r="62" spans="1:13">
      <c r="A62" s="7" t="s">
        <v>50</v>
      </c>
      <c r="B62" s="7" t="s">
        <v>18</v>
      </c>
      <c r="C62" s="9">
        <v>70</v>
      </c>
      <c r="D62" s="10">
        <v>0</v>
      </c>
      <c r="E62" s="10"/>
      <c r="F62" s="9">
        <f t="shared" si="0"/>
        <v>0</v>
      </c>
      <c r="G62" s="11">
        <f t="shared" si="1"/>
        <v>0</v>
      </c>
      <c r="H62" s="12">
        <v>721.25</v>
      </c>
      <c r="I62" s="13">
        <f t="shared" si="2"/>
        <v>0</v>
      </c>
      <c r="J62" s="14">
        <v>771</v>
      </c>
      <c r="K62" s="13">
        <f t="shared" si="3"/>
        <v>0</v>
      </c>
      <c r="L62" s="11">
        <f>G62-'20'!D62</f>
        <v>0</v>
      </c>
      <c r="M62" s="13">
        <f t="shared" si="4"/>
        <v>0</v>
      </c>
    </row>
    <row r="63" spans="1:13">
      <c r="A63" s="7" t="s">
        <v>51</v>
      </c>
      <c r="B63" s="7" t="s">
        <v>17</v>
      </c>
      <c r="C63" s="9">
        <v>100</v>
      </c>
      <c r="D63" s="10">
        <v>232</v>
      </c>
      <c r="E63" s="10"/>
      <c r="F63" s="9">
        <f t="shared" si="0"/>
        <v>0</v>
      </c>
      <c r="G63" s="11">
        <f t="shared" si="1"/>
        <v>232</v>
      </c>
      <c r="H63" s="12">
        <v>790.89</v>
      </c>
      <c r="I63" s="13">
        <f t="shared" si="2"/>
        <v>183486.48</v>
      </c>
      <c r="J63" s="14">
        <v>845</v>
      </c>
      <c r="K63" s="13">
        <f t="shared" si="3"/>
        <v>196040</v>
      </c>
      <c r="L63" s="11">
        <f>G63-'20'!D63</f>
        <v>101</v>
      </c>
      <c r="M63" s="13">
        <f t="shared" si="4"/>
        <v>85345</v>
      </c>
    </row>
    <row r="64" spans="1:13">
      <c r="A64" s="7" t="s">
        <v>51</v>
      </c>
      <c r="B64" s="7" t="s">
        <v>18</v>
      </c>
      <c r="C64" s="9">
        <v>100</v>
      </c>
      <c r="D64" s="10">
        <v>94</v>
      </c>
      <c r="E64" s="10"/>
      <c r="F64" s="9">
        <f t="shared" si="0"/>
        <v>0</v>
      </c>
      <c r="G64" s="11">
        <f t="shared" si="1"/>
        <v>94</v>
      </c>
      <c r="H64" s="12">
        <v>790.89</v>
      </c>
      <c r="I64" s="13">
        <f t="shared" si="2"/>
        <v>74343.66</v>
      </c>
      <c r="J64" s="14">
        <v>845</v>
      </c>
      <c r="K64" s="13">
        <f t="shared" si="3"/>
        <v>79430</v>
      </c>
      <c r="L64" s="11">
        <f>G64-'20'!D64</f>
        <v>40</v>
      </c>
      <c r="M64" s="13">
        <f t="shared" si="4"/>
        <v>33800</v>
      </c>
    </row>
    <row r="65" spans="1:13">
      <c r="A65" s="7" t="s">
        <v>51</v>
      </c>
      <c r="B65" s="7" t="s">
        <v>19</v>
      </c>
      <c r="C65" s="9">
        <v>100</v>
      </c>
      <c r="D65" s="10">
        <v>0</v>
      </c>
      <c r="E65" s="10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f>G65-'20'!D65</f>
        <v>0</v>
      </c>
      <c r="M65" s="13">
        <f t="shared" si="4"/>
        <v>0</v>
      </c>
    </row>
    <row r="66" spans="1:13">
      <c r="A66" s="7" t="s">
        <v>51</v>
      </c>
      <c r="B66" s="7" t="s">
        <v>20</v>
      </c>
      <c r="C66" s="9">
        <v>100</v>
      </c>
      <c r="D66" s="10">
        <v>0</v>
      </c>
      <c r="E66" s="11"/>
      <c r="F66" s="9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f>G66-'20'!D66</f>
        <v>0</v>
      </c>
      <c r="M66" s="13">
        <f t="shared" si="4"/>
        <v>0</v>
      </c>
    </row>
    <row r="67" spans="1:13">
      <c r="A67" s="7" t="s">
        <v>51</v>
      </c>
      <c r="B67" s="7" t="s">
        <v>21</v>
      </c>
      <c r="C67" s="9">
        <v>100</v>
      </c>
      <c r="D67" s="10">
        <v>0</v>
      </c>
      <c r="E67" s="11"/>
      <c r="F67" s="15">
        <f t="shared" si="0"/>
        <v>0</v>
      </c>
      <c r="G67" s="11">
        <f t="shared" si="1"/>
        <v>0</v>
      </c>
      <c r="H67" s="12">
        <v>790.89</v>
      </c>
      <c r="I67" s="13">
        <f t="shared" si="2"/>
        <v>0</v>
      </c>
      <c r="J67" s="14">
        <v>845</v>
      </c>
      <c r="K67" s="13">
        <f t="shared" si="3"/>
        <v>0</v>
      </c>
      <c r="L67" s="11">
        <f>G67-'20'!D67</f>
        <v>0</v>
      </c>
      <c r="M67" s="13">
        <f t="shared" si="4"/>
        <v>0</v>
      </c>
    </row>
    <row r="68" spans="1:13">
      <c r="A68" s="35" t="s">
        <v>52</v>
      </c>
      <c r="B68" s="36"/>
      <c r="C68" s="37"/>
      <c r="D68" s="16">
        <f>SUM(D2:D67)</f>
        <v>4148</v>
      </c>
      <c r="E68" s="17">
        <f>SUM(E2:E67)</f>
        <v>0</v>
      </c>
      <c r="F68" s="18">
        <f>SUM(F2:F67)</f>
        <v>0</v>
      </c>
      <c r="G68" s="17">
        <f>SUM(G2:G67)</f>
        <v>4148</v>
      </c>
      <c r="H68" s="19"/>
      <c r="I68" s="20">
        <f>SUM(I2:I67)</f>
        <v>1748618.1699999995</v>
      </c>
      <c r="J68" s="21">
        <f>SUM(J2:J67)</f>
        <v>41132</v>
      </c>
      <c r="K68" s="22">
        <f>SUM(K2:K67)</f>
        <v>1870901</v>
      </c>
      <c r="L68" s="23">
        <f>SUM(L2:L67)</f>
        <v>638</v>
      </c>
      <c r="M68" s="24">
        <f>SUM(M2:M67)</f>
        <v>353318</v>
      </c>
    </row>
    <row r="71" spans="1:13">
      <c r="F71" s="31"/>
    </row>
    <row r="74" spans="1:13">
      <c r="I74" s="33"/>
      <c r="J74" s="32"/>
      <c r="K74" s="33"/>
    </row>
    <row r="75" spans="1:13">
      <c r="I75" s="33"/>
      <c r="J75" s="32"/>
      <c r="K75" s="33"/>
    </row>
    <row r="76" spans="1:13">
      <c r="I76" s="33"/>
      <c r="J76" s="29"/>
      <c r="K76" s="30"/>
    </row>
    <row r="77" spans="1:13">
      <c r="D77" s="25" t="s">
        <v>53</v>
      </c>
      <c r="I77" s="33"/>
      <c r="J77" s="34"/>
      <c r="K77" s="34"/>
    </row>
    <row r="78" spans="1:13"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  <c r="I80" s="33"/>
      <c r="J80" s="32"/>
      <c r="K80" s="33"/>
    </row>
    <row r="81" spans="6:6">
      <c r="F81" s="26"/>
    </row>
  </sheetData>
  <mergeCells count="1">
    <mergeCell ref="A68:C6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81"/>
  <sheetViews>
    <sheetView topLeftCell="A45" workbookViewId="0">
      <selection activeCell="P63" sqref="P63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288</v>
      </c>
      <c r="E2" s="11"/>
      <c r="F2" s="9">
        <f>E2*H2</f>
        <v>0</v>
      </c>
      <c r="G2" s="11">
        <f>D2+E2</f>
        <v>288</v>
      </c>
      <c r="H2" s="12">
        <v>308.13</v>
      </c>
      <c r="I2" s="13">
        <f>H2*D2</f>
        <v>88741.440000000002</v>
      </c>
      <c r="J2" s="14">
        <v>326</v>
      </c>
      <c r="K2" s="13">
        <f>J2*D2</f>
        <v>93888</v>
      </c>
      <c r="L2" s="11">
        <f>G2-'21'!D2</f>
        <v>25</v>
      </c>
      <c r="M2" s="13">
        <f>L2*J2</f>
        <v>8150</v>
      </c>
    </row>
    <row r="3" spans="1:13">
      <c r="A3" s="7" t="s">
        <v>12</v>
      </c>
      <c r="B3" s="8" t="s">
        <v>14</v>
      </c>
      <c r="C3" s="9">
        <v>9</v>
      </c>
      <c r="D3" s="10">
        <v>76</v>
      </c>
      <c r="E3" s="11"/>
      <c r="F3" s="9">
        <f t="shared" ref="F3:F67" si="0">E3*H3</f>
        <v>0</v>
      </c>
      <c r="G3" s="11">
        <f t="shared" ref="G3:G67" si="1">D3+E3</f>
        <v>76</v>
      </c>
      <c r="H3" s="12">
        <v>308.19</v>
      </c>
      <c r="I3" s="13">
        <f t="shared" ref="I3:I67" si="2">H3*D3</f>
        <v>23422.44</v>
      </c>
      <c r="J3" s="14">
        <v>326</v>
      </c>
      <c r="K3" s="13">
        <f t="shared" ref="K3:K67" si="3">J3*D3</f>
        <v>24776</v>
      </c>
      <c r="L3" s="11">
        <f>G3-'21'!D3</f>
        <v>3</v>
      </c>
      <c r="M3" s="13">
        <f t="shared" ref="M3:M67" si="4">L3*J3</f>
        <v>978</v>
      </c>
    </row>
    <row r="4" spans="1:13">
      <c r="A4" s="7" t="s">
        <v>12</v>
      </c>
      <c r="B4" s="8" t="s">
        <v>15</v>
      </c>
      <c r="C4" s="9">
        <v>9</v>
      </c>
      <c r="D4" s="10">
        <v>0</v>
      </c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f>G4-'21'!D4</f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224</v>
      </c>
      <c r="E5" s="11"/>
      <c r="F5" s="9">
        <f t="shared" si="0"/>
        <v>0</v>
      </c>
      <c r="G5" s="11">
        <f t="shared" si="1"/>
        <v>224</v>
      </c>
      <c r="H5" s="12">
        <v>174.77</v>
      </c>
      <c r="I5" s="13">
        <f t="shared" si="2"/>
        <v>39148.480000000003</v>
      </c>
      <c r="J5" s="14">
        <v>192</v>
      </c>
      <c r="K5" s="13">
        <f t="shared" si="3"/>
        <v>43008</v>
      </c>
      <c r="L5" s="11">
        <f>G5-'21'!D5</f>
        <v>48</v>
      </c>
      <c r="M5" s="13">
        <f t="shared" si="4"/>
        <v>9216</v>
      </c>
    </row>
    <row r="6" spans="1:13">
      <c r="A6" s="7" t="s">
        <v>16</v>
      </c>
      <c r="B6" s="8" t="s">
        <v>18</v>
      </c>
      <c r="C6" s="9">
        <v>10</v>
      </c>
      <c r="D6" s="10">
        <v>168</v>
      </c>
      <c r="E6" s="11"/>
      <c r="F6" s="9">
        <f t="shared" si="0"/>
        <v>0</v>
      </c>
      <c r="G6" s="11">
        <f t="shared" si="1"/>
        <v>168</v>
      </c>
      <c r="H6" s="12">
        <v>174.77</v>
      </c>
      <c r="I6" s="13">
        <f t="shared" si="2"/>
        <v>29361.360000000001</v>
      </c>
      <c r="J6" s="14">
        <v>192</v>
      </c>
      <c r="K6" s="13">
        <f t="shared" si="3"/>
        <v>32256</v>
      </c>
      <c r="L6" s="11">
        <f>G6-'21'!D6</f>
        <v>21</v>
      </c>
      <c r="M6" s="13">
        <f t="shared" si="4"/>
        <v>4032</v>
      </c>
    </row>
    <row r="7" spans="1:13">
      <c r="A7" s="7" t="s">
        <v>16</v>
      </c>
      <c r="B7" s="8" t="s">
        <v>19</v>
      </c>
      <c r="C7" s="9">
        <v>10</v>
      </c>
      <c r="D7" s="10">
        <v>31</v>
      </c>
      <c r="E7" s="11"/>
      <c r="F7" s="9">
        <f t="shared" si="0"/>
        <v>0</v>
      </c>
      <c r="G7" s="11">
        <f t="shared" si="1"/>
        <v>31</v>
      </c>
      <c r="H7" s="12">
        <v>174.77</v>
      </c>
      <c r="I7" s="13">
        <f t="shared" si="2"/>
        <v>5417.87</v>
      </c>
      <c r="J7" s="14">
        <v>192</v>
      </c>
      <c r="K7" s="13">
        <f t="shared" si="3"/>
        <v>5952</v>
      </c>
      <c r="L7" s="11">
        <f>G7-'21'!D7</f>
        <v>10</v>
      </c>
      <c r="M7" s="13">
        <f t="shared" si="4"/>
        <v>1920</v>
      </c>
    </row>
    <row r="8" spans="1:13">
      <c r="A8" s="7" t="s">
        <v>16</v>
      </c>
      <c r="B8" s="8" t="s">
        <v>20</v>
      </c>
      <c r="C8" s="9">
        <v>10</v>
      </c>
      <c r="D8" s="10">
        <v>83</v>
      </c>
      <c r="E8" s="11"/>
      <c r="F8" s="9">
        <f t="shared" si="0"/>
        <v>0</v>
      </c>
      <c r="G8" s="11">
        <f t="shared" si="1"/>
        <v>83</v>
      </c>
      <c r="H8" s="12">
        <v>174.77</v>
      </c>
      <c r="I8" s="13">
        <f t="shared" si="2"/>
        <v>14505.910000000002</v>
      </c>
      <c r="J8" s="14">
        <v>192</v>
      </c>
      <c r="K8" s="13">
        <f t="shared" si="3"/>
        <v>15936</v>
      </c>
      <c r="L8" s="11">
        <f>G8-'21'!D8</f>
        <v>14</v>
      </c>
      <c r="M8" s="13">
        <f t="shared" si="4"/>
        <v>2688</v>
      </c>
    </row>
    <row r="9" spans="1:13">
      <c r="A9" s="7" t="s">
        <v>16</v>
      </c>
      <c r="B9" s="8" t="s">
        <v>21</v>
      </c>
      <c r="C9" s="9">
        <v>10</v>
      </c>
      <c r="D9" s="10">
        <v>120</v>
      </c>
      <c r="E9" s="11"/>
      <c r="F9" s="9">
        <f t="shared" si="0"/>
        <v>0</v>
      </c>
      <c r="G9" s="11">
        <f t="shared" si="1"/>
        <v>120</v>
      </c>
      <c r="H9" s="12">
        <v>174.77</v>
      </c>
      <c r="I9" s="13">
        <f t="shared" si="2"/>
        <v>20972.400000000001</v>
      </c>
      <c r="J9" s="14">
        <v>192</v>
      </c>
      <c r="K9" s="13">
        <f t="shared" si="3"/>
        <v>23040</v>
      </c>
      <c r="L9" s="11">
        <f>G9-'21'!D9</f>
        <v>15</v>
      </c>
      <c r="M9" s="13">
        <f t="shared" si="4"/>
        <v>2880</v>
      </c>
    </row>
    <row r="10" spans="1:13">
      <c r="A10" s="7" t="s">
        <v>16</v>
      </c>
      <c r="B10" s="8" t="s">
        <v>13</v>
      </c>
      <c r="C10" s="9">
        <v>14</v>
      </c>
      <c r="D10" s="10">
        <v>0</v>
      </c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f>G10-'21'!D10</f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15</v>
      </c>
      <c r="E11" s="11"/>
      <c r="F11" s="9">
        <f t="shared" si="0"/>
        <v>0</v>
      </c>
      <c r="G11" s="11">
        <f t="shared" si="1"/>
        <v>15</v>
      </c>
      <c r="H11" s="12">
        <v>470.8</v>
      </c>
      <c r="I11" s="13">
        <f t="shared" si="2"/>
        <v>7062</v>
      </c>
      <c r="J11" s="14">
        <v>505</v>
      </c>
      <c r="K11" s="13">
        <f t="shared" si="3"/>
        <v>7575</v>
      </c>
      <c r="L11" s="11">
        <f>G11-'21'!D11</f>
        <v>1</v>
      </c>
      <c r="M11" s="13">
        <f t="shared" si="4"/>
        <v>505</v>
      </c>
    </row>
    <row r="12" spans="1:13">
      <c r="A12" s="7" t="s">
        <v>22</v>
      </c>
      <c r="B12" s="8" t="s">
        <v>17</v>
      </c>
      <c r="C12" s="9">
        <v>20</v>
      </c>
      <c r="D12" s="10">
        <v>366</v>
      </c>
      <c r="E12" s="11">
        <v>54</v>
      </c>
      <c r="F12" s="9">
        <f>E12*H12</f>
        <v>25691.579999999998</v>
      </c>
      <c r="G12" s="11">
        <f t="shared" si="1"/>
        <v>420</v>
      </c>
      <c r="H12" s="12">
        <v>475.77</v>
      </c>
      <c r="I12" s="13">
        <f t="shared" si="2"/>
        <v>174131.82</v>
      </c>
      <c r="J12" s="14">
        <v>505</v>
      </c>
      <c r="K12" s="13">
        <f t="shared" si="3"/>
        <v>184830</v>
      </c>
      <c r="L12" s="11">
        <f>G12-'21'!D12</f>
        <v>79</v>
      </c>
      <c r="M12" s="13">
        <f t="shared" si="4"/>
        <v>39895</v>
      </c>
    </row>
    <row r="13" spans="1:13">
      <c r="A13" s="7" t="s">
        <v>22</v>
      </c>
      <c r="B13" s="8" t="s">
        <v>18</v>
      </c>
      <c r="C13" s="9">
        <v>20</v>
      </c>
      <c r="D13" s="10">
        <v>301</v>
      </c>
      <c r="E13" s="11"/>
      <c r="F13" s="9">
        <f t="shared" si="0"/>
        <v>0</v>
      </c>
      <c r="G13" s="11">
        <f t="shared" si="1"/>
        <v>301</v>
      </c>
      <c r="H13" s="12">
        <v>475.77</v>
      </c>
      <c r="I13" s="13">
        <f t="shared" si="2"/>
        <v>143206.76999999999</v>
      </c>
      <c r="J13" s="14">
        <v>505</v>
      </c>
      <c r="K13" s="13">
        <f t="shared" si="3"/>
        <v>152005</v>
      </c>
      <c r="L13" s="11">
        <f>G13-'21'!D13</f>
        <v>34</v>
      </c>
      <c r="M13" s="13">
        <f t="shared" si="4"/>
        <v>17170</v>
      </c>
    </row>
    <row r="14" spans="1:13">
      <c r="A14" s="7" t="s">
        <v>22</v>
      </c>
      <c r="B14" s="8" t="s">
        <v>19</v>
      </c>
      <c r="C14" s="9">
        <v>20</v>
      </c>
      <c r="D14" s="10">
        <v>50</v>
      </c>
      <c r="E14" s="11"/>
      <c r="F14" s="9">
        <f t="shared" si="0"/>
        <v>0</v>
      </c>
      <c r="G14" s="11">
        <f t="shared" si="1"/>
        <v>50</v>
      </c>
      <c r="H14" s="12">
        <v>470.8</v>
      </c>
      <c r="I14" s="13">
        <f t="shared" si="2"/>
        <v>23540</v>
      </c>
      <c r="J14" s="14">
        <v>505</v>
      </c>
      <c r="K14" s="13">
        <f t="shared" si="3"/>
        <v>25250</v>
      </c>
      <c r="L14" s="11">
        <f>G14-'21'!D14</f>
        <v>15</v>
      </c>
      <c r="M14" s="13">
        <f t="shared" si="4"/>
        <v>7575</v>
      </c>
    </row>
    <row r="15" spans="1:13">
      <c r="A15" s="7" t="s">
        <v>22</v>
      </c>
      <c r="B15" s="8" t="s">
        <v>20</v>
      </c>
      <c r="C15" s="9">
        <v>20</v>
      </c>
      <c r="D15" s="10">
        <v>55</v>
      </c>
      <c r="E15" s="11"/>
      <c r="F15" s="9">
        <f t="shared" si="0"/>
        <v>0</v>
      </c>
      <c r="G15" s="11">
        <f t="shared" si="1"/>
        <v>55</v>
      </c>
      <c r="H15" s="12">
        <v>470.8</v>
      </c>
      <c r="I15" s="13">
        <f t="shared" si="2"/>
        <v>25894</v>
      </c>
      <c r="J15" s="14">
        <v>505</v>
      </c>
      <c r="K15" s="13">
        <f t="shared" si="3"/>
        <v>27775</v>
      </c>
      <c r="L15" s="11">
        <f>G15-'21'!D15</f>
        <v>7</v>
      </c>
      <c r="M15" s="13">
        <f t="shared" si="4"/>
        <v>3535</v>
      </c>
    </row>
    <row r="16" spans="1:13">
      <c r="A16" s="7" t="s">
        <v>22</v>
      </c>
      <c r="B16" s="8" t="s">
        <v>21</v>
      </c>
      <c r="C16" s="9">
        <v>20</v>
      </c>
      <c r="D16" s="10">
        <v>34</v>
      </c>
      <c r="E16" s="11"/>
      <c r="F16" s="9">
        <f t="shared" si="0"/>
        <v>0</v>
      </c>
      <c r="G16" s="11">
        <f t="shared" si="1"/>
        <v>34</v>
      </c>
      <c r="H16" s="12">
        <v>470.8</v>
      </c>
      <c r="I16" s="13">
        <f t="shared" si="2"/>
        <v>16007.2</v>
      </c>
      <c r="J16" s="14">
        <v>505</v>
      </c>
      <c r="K16" s="13">
        <f t="shared" si="3"/>
        <v>17170</v>
      </c>
      <c r="L16" s="11">
        <f>G16-'21'!D16</f>
        <v>8</v>
      </c>
      <c r="M16" s="13">
        <f t="shared" si="4"/>
        <v>4040</v>
      </c>
    </row>
    <row r="17" spans="1:13">
      <c r="A17" s="7" t="s">
        <v>22</v>
      </c>
      <c r="B17" s="8" t="s">
        <v>29</v>
      </c>
      <c r="C17" s="9">
        <v>11</v>
      </c>
      <c r="D17" s="10">
        <v>152</v>
      </c>
      <c r="E17" s="11"/>
      <c r="F17" s="9">
        <f t="shared" si="0"/>
        <v>0</v>
      </c>
      <c r="G17" s="11">
        <f t="shared" si="1"/>
        <v>152</v>
      </c>
      <c r="H17" s="12">
        <v>235.59</v>
      </c>
      <c r="I17" s="13">
        <f t="shared" si="2"/>
        <v>35809.68</v>
      </c>
      <c r="J17" s="14">
        <v>250</v>
      </c>
      <c r="K17" s="13">
        <f t="shared" si="3"/>
        <v>38000</v>
      </c>
      <c r="L17" s="11">
        <f>G17-'21'!D17</f>
        <v>7</v>
      </c>
      <c r="M17" s="13">
        <f t="shared" si="4"/>
        <v>1750</v>
      </c>
    </row>
    <row r="18" spans="1:13">
      <c r="A18" s="7" t="s">
        <v>22</v>
      </c>
      <c r="B18" s="8" t="s">
        <v>28</v>
      </c>
      <c r="C18" s="9">
        <v>20</v>
      </c>
      <c r="D18" s="10">
        <v>0</v>
      </c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f>G18-'21'!D18</f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>
        <v>34</v>
      </c>
      <c r="E19" s="11"/>
      <c r="F19" s="9">
        <f t="shared" si="0"/>
        <v>0</v>
      </c>
      <c r="G19" s="11">
        <f t="shared" si="1"/>
        <v>34</v>
      </c>
      <c r="H19" s="12">
        <v>204</v>
      </c>
      <c r="I19" s="13">
        <f t="shared" si="2"/>
        <v>6936</v>
      </c>
      <c r="J19" s="14">
        <v>230</v>
      </c>
      <c r="K19" s="13">
        <f t="shared" si="3"/>
        <v>7820</v>
      </c>
      <c r="L19" s="11">
        <f>G19-'21'!D19</f>
        <v>8</v>
      </c>
      <c r="M19" s="13">
        <f t="shared" si="4"/>
        <v>1840</v>
      </c>
    </row>
    <row r="20" spans="1:13">
      <c r="A20" s="7" t="s">
        <v>22</v>
      </c>
      <c r="B20" s="8" t="s">
        <v>25</v>
      </c>
      <c r="C20" s="9">
        <v>10</v>
      </c>
      <c r="D20" s="10">
        <v>44</v>
      </c>
      <c r="E20" s="11"/>
      <c r="F20" s="9">
        <f t="shared" si="0"/>
        <v>0</v>
      </c>
      <c r="G20" s="11">
        <f t="shared" si="1"/>
        <v>44</v>
      </c>
      <c r="H20" s="12">
        <v>204</v>
      </c>
      <c r="I20" s="13">
        <f>H20*D20</f>
        <v>8976</v>
      </c>
      <c r="J20" s="14">
        <v>230</v>
      </c>
      <c r="K20" s="13">
        <f t="shared" si="3"/>
        <v>10120</v>
      </c>
      <c r="L20" s="11">
        <f>G20-'21'!D20</f>
        <v>7</v>
      </c>
      <c r="M20" s="13">
        <f t="shared" si="4"/>
        <v>1610</v>
      </c>
    </row>
    <row r="21" spans="1:13">
      <c r="A21" s="7" t="s">
        <v>22</v>
      </c>
      <c r="B21" s="8" t="s">
        <v>26</v>
      </c>
      <c r="C21" s="9">
        <v>10</v>
      </c>
      <c r="D21" s="10">
        <v>12</v>
      </c>
      <c r="E21" s="11"/>
      <c r="F21" s="9">
        <f t="shared" si="0"/>
        <v>0</v>
      </c>
      <c r="G21" s="11">
        <f t="shared" si="1"/>
        <v>12</v>
      </c>
      <c r="H21" s="12">
        <v>204</v>
      </c>
      <c r="I21" s="13">
        <f t="shared" si="2"/>
        <v>2448</v>
      </c>
      <c r="J21" s="14">
        <v>230</v>
      </c>
      <c r="K21" s="13">
        <f t="shared" si="3"/>
        <v>2760</v>
      </c>
      <c r="L21" s="11">
        <f>G21-'21'!D21</f>
        <v>6</v>
      </c>
      <c r="M21" s="13">
        <f t="shared" si="4"/>
        <v>1380</v>
      </c>
    </row>
    <row r="22" spans="1:13">
      <c r="A22" s="7" t="s">
        <v>22</v>
      </c>
      <c r="B22" s="8" t="s">
        <v>13</v>
      </c>
      <c r="C22" s="9">
        <v>19</v>
      </c>
      <c r="D22" s="10">
        <v>15</v>
      </c>
      <c r="E22" s="11">
        <v>36</v>
      </c>
      <c r="F22" s="9">
        <f t="shared" si="0"/>
        <v>17080.559999999998</v>
      </c>
      <c r="G22" s="11">
        <f t="shared" si="1"/>
        <v>51</v>
      </c>
      <c r="H22" s="12">
        <v>474.46</v>
      </c>
      <c r="I22" s="13">
        <f t="shared" si="2"/>
        <v>7116.9</v>
      </c>
      <c r="J22" s="14">
        <v>505</v>
      </c>
      <c r="K22" s="13">
        <f t="shared" si="3"/>
        <v>7575</v>
      </c>
      <c r="L22" s="11">
        <f>G22-'21'!D22</f>
        <v>12</v>
      </c>
      <c r="M22" s="13">
        <f t="shared" si="4"/>
        <v>6060</v>
      </c>
    </row>
    <row r="23" spans="1:13">
      <c r="A23" s="7" t="s">
        <v>22</v>
      </c>
      <c r="B23" s="8" t="s">
        <v>27</v>
      </c>
      <c r="C23" s="9">
        <v>24</v>
      </c>
      <c r="D23" s="10">
        <v>8</v>
      </c>
      <c r="E23" s="11">
        <v>108</v>
      </c>
      <c r="F23" s="9">
        <f t="shared" si="0"/>
        <v>64143.359999999993</v>
      </c>
      <c r="G23" s="11">
        <f t="shared" si="1"/>
        <v>116</v>
      </c>
      <c r="H23" s="12">
        <v>593.91999999999996</v>
      </c>
      <c r="I23" s="13">
        <f t="shared" si="2"/>
        <v>4751.3599999999997</v>
      </c>
      <c r="J23" s="14">
        <v>630</v>
      </c>
      <c r="K23" s="13">
        <f t="shared" si="3"/>
        <v>5040</v>
      </c>
      <c r="L23" s="11">
        <f>G23-'21'!D23</f>
        <v>8</v>
      </c>
      <c r="M23" s="13">
        <f t="shared" si="4"/>
        <v>5040</v>
      </c>
    </row>
    <row r="24" spans="1:13">
      <c r="A24" s="7" t="s">
        <v>30</v>
      </c>
      <c r="B24" s="8" t="s">
        <v>17</v>
      </c>
      <c r="C24" s="9">
        <v>25</v>
      </c>
      <c r="D24" s="10">
        <v>75</v>
      </c>
      <c r="E24" s="10"/>
      <c r="F24" s="9">
        <f t="shared" si="0"/>
        <v>0</v>
      </c>
      <c r="G24" s="11">
        <f t="shared" si="1"/>
        <v>75</v>
      </c>
      <c r="H24" s="12">
        <v>453.3</v>
      </c>
      <c r="I24" s="13">
        <f t="shared" si="2"/>
        <v>33997.5</v>
      </c>
      <c r="J24" s="14">
        <v>493</v>
      </c>
      <c r="K24" s="13">
        <f t="shared" si="3"/>
        <v>36975</v>
      </c>
      <c r="L24" s="11">
        <f>G24-'21'!D24</f>
        <v>0</v>
      </c>
      <c r="M24" s="13">
        <f t="shared" si="4"/>
        <v>0</v>
      </c>
    </row>
    <row r="25" spans="1:13">
      <c r="A25" s="7" t="s">
        <v>30</v>
      </c>
      <c r="B25" s="8" t="s">
        <v>18</v>
      </c>
      <c r="C25" s="9">
        <v>25</v>
      </c>
      <c r="D25" s="10">
        <v>54</v>
      </c>
      <c r="E25" s="10"/>
      <c r="F25" s="9">
        <f t="shared" si="0"/>
        <v>0</v>
      </c>
      <c r="G25" s="11">
        <f t="shared" si="1"/>
        <v>54</v>
      </c>
      <c r="H25" s="12">
        <v>453.3</v>
      </c>
      <c r="I25" s="13">
        <f t="shared" si="2"/>
        <v>24478.2</v>
      </c>
      <c r="J25" s="14">
        <v>493</v>
      </c>
      <c r="K25" s="13">
        <f t="shared" si="3"/>
        <v>26622</v>
      </c>
      <c r="L25" s="11">
        <f>G25-'21'!D25</f>
        <v>0</v>
      </c>
      <c r="M25" s="13">
        <f t="shared" si="4"/>
        <v>0</v>
      </c>
    </row>
    <row r="26" spans="1:13">
      <c r="A26" s="7" t="s">
        <v>55</v>
      </c>
      <c r="B26" s="7" t="s">
        <v>17</v>
      </c>
      <c r="C26" s="9">
        <v>70</v>
      </c>
      <c r="D26" s="10">
        <v>0</v>
      </c>
      <c r="E26" s="10"/>
      <c r="F26" s="9">
        <f t="shared" si="0"/>
        <v>0</v>
      </c>
      <c r="G26" s="11">
        <f t="shared" si="1"/>
        <v>0</v>
      </c>
      <c r="H26" s="12">
        <v>959.04</v>
      </c>
      <c r="I26" s="13">
        <f t="shared" si="2"/>
        <v>0</v>
      </c>
      <c r="J26" s="14">
        <v>1010</v>
      </c>
      <c r="K26" s="13">
        <f t="shared" si="3"/>
        <v>0</v>
      </c>
      <c r="L26" s="11">
        <f>G26-'21'!D26</f>
        <v>0</v>
      </c>
      <c r="M26" s="13">
        <f t="shared" si="4"/>
        <v>0</v>
      </c>
    </row>
    <row r="27" spans="1:13">
      <c r="A27" s="7" t="s">
        <v>55</v>
      </c>
      <c r="B27" s="8" t="s">
        <v>18</v>
      </c>
      <c r="C27" s="9">
        <v>70</v>
      </c>
      <c r="D27" s="10">
        <v>0</v>
      </c>
      <c r="E27" s="10"/>
      <c r="F27" s="9">
        <f t="shared" si="0"/>
        <v>0</v>
      </c>
      <c r="G27" s="11">
        <f t="shared" si="1"/>
        <v>0</v>
      </c>
      <c r="H27" s="12">
        <v>959.04</v>
      </c>
      <c r="I27" s="13">
        <f t="shared" si="2"/>
        <v>0</v>
      </c>
      <c r="J27" s="14">
        <v>1010</v>
      </c>
      <c r="K27" s="13">
        <f t="shared" si="3"/>
        <v>0</v>
      </c>
      <c r="L27" s="11">
        <f>G27-'21'!D27</f>
        <v>0</v>
      </c>
      <c r="M27" s="13">
        <f t="shared" si="4"/>
        <v>0</v>
      </c>
    </row>
    <row r="28" spans="1:13">
      <c r="A28" s="7" t="s">
        <v>55</v>
      </c>
      <c r="B28" s="8" t="s">
        <v>21</v>
      </c>
      <c r="C28" s="9">
        <v>70</v>
      </c>
      <c r="D28" s="10">
        <v>0</v>
      </c>
      <c r="E28" s="10"/>
      <c r="F28" s="9">
        <f t="shared" si="0"/>
        <v>0</v>
      </c>
      <c r="G28" s="11">
        <f t="shared" si="1"/>
        <v>0</v>
      </c>
      <c r="H28" s="12">
        <v>959.04</v>
      </c>
      <c r="I28" s="13">
        <f t="shared" si="2"/>
        <v>0</v>
      </c>
      <c r="J28" s="14">
        <v>1010</v>
      </c>
      <c r="K28" s="13">
        <f t="shared" si="3"/>
        <v>0</v>
      </c>
      <c r="L28" s="11">
        <f>G28-'21'!D28</f>
        <v>0</v>
      </c>
      <c r="M28" s="13">
        <f t="shared" si="4"/>
        <v>0</v>
      </c>
    </row>
    <row r="29" spans="1:13">
      <c r="A29" s="7" t="s">
        <v>31</v>
      </c>
      <c r="B29" s="7" t="s">
        <v>17</v>
      </c>
      <c r="C29" s="9">
        <v>40</v>
      </c>
      <c r="D29" s="10">
        <v>0</v>
      </c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f>G29-'21'!D29</f>
        <v>0</v>
      </c>
      <c r="M29" s="13">
        <f t="shared" si="4"/>
        <v>0</v>
      </c>
    </row>
    <row r="30" spans="1:13">
      <c r="A30" s="7" t="s">
        <v>31</v>
      </c>
      <c r="B30" s="7" t="s">
        <v>18</v>
      </c>
      <c r="C30" s="9">
        <v>40</v>
      </c>
      <c r="D30" s="10">
        <v>0</v>
      </c>
      <c r="E30" s="10"/>
      <c r="F30" s="9">
        <f t="shared" si="0"/>
        <v>0</v>
      </c>
      <c r="G30" s="11">
        <f t="shared" si="1"/>
        <v>0</v>
      </c>
      <c r="H30" s="12">
        <v>821.36</v>
      </c>
      <c r="I30" s="13">
        <f t="shared" si="2"/>
        <v>0</v>
      </c>
      <c r="J30" s="14">
        <v>878</v>
      </c>
      <c r="K30" s="13">
        <f t="shared" si="3"/>
        <v>0</v>
      </c>
      <c r="L30" s="11">
        <f>G30-'21'!D30</f>
        <v>0</v>
      </c>
      <c r="M30" s="13">
        <f t="shared" si="4"/>
        <v>0</v>
      </c>
    </row>
    <row r="31" spans="1:13">
      <c r="A31" s="7" t="s">
        <v>31</v>
      </c>
      <c r="B31" s="7" t="s">
        <v>19</v>
      </c>
      <c r="C31" s="9">
        <v>40</v>
      </c>
      <c r="D31" s="10">
        <v>0</v>
      </c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f>G31-'21'!D31</f>
        <v>0</v>
      </c>
      <c r="M31" s="13">
        <f t="shared" si="4"/>
        <v>0</v>
      </c>
    </row>
    <row r="32" spans="1:13">
      <c r="A32" s="7" t="s">
        <v>31</v>
      </c>
      <c r="B32" s="7" t="s">
        <v>20</v>
      </c>
      <c r="C32" s="9">
        <v>40</v>
      </c>
      <c r="D32" s="10">
        <v>0</v>
      </c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f>G32-'21'!D32</f>
        <v>0</v>
      </c>
      <c r="M32" s="13">
        <f t="shared" si="4"/>
        <v>0</v>
      </c>
    </row>
    <row r="33" spans="1:13">
      <c r="A33" s="7" t="s">
        <v>31</v>
      </c>
      <c r="B33" s="7" t="s">
        <v>21</v>
      </c>
      <c r="C33" s="9">
        <v>40</v>
      </c>
      <c r="D33" s="10">
        <v>0</v>
      </c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f>G33-'21'!D33</f>
        <v>0</v>
      </c>
      <c r="M33" s="13">
        <f t="shared" si="4"/>
        <v>0</v>
      </c>
    </row>
    <row r="34" spans="1:13">
      <c r="A34" s="7" t="s">
        <v>31</v>
      </c>
      <c r="B34" s="7" t="s">
        <v>32</v>
      </c>
      <c r="C34" s="9">
        <v>40</v>
      </c>
      <c r="D34" s="10">
        <v>0</v>
      </c>
      <c r="E34" s="10"/>
      <c r="F34" s="9">
        <f t="shared" si="0"/>
        <v>0</v>
      </c>
      <c r="G34" s="11">
        <f t="shared" si="1"/>
        <v>0</v>
      </c>
      <c r="H34" s="12">
        <v>817.58</v>
      </c>
      <c r="I34" s="13">
        <f t="shared" si="2"/>
        <v>0</v>
      </c>
      <c r="J34" s="14">
        <v>878</v>
      </c>
      <c r="K34" s="13">
        <f t="shared" si="3"/>
        <v>0</v>
      </c>
      <c r="L34" s="11">
        <f>G34-'21'!D34</f>
        <v>0</v>
      </c>
      <c r="M34" s="13">
        <f t="shared" si="4"/>
        <v>0</v>
      </c>
    </row>
    <row r="35" spans="1:13">
      <c r="A35" s="7" t="s">
        <v>31</v>
      </c>
      <c r="B35" s="7" t="s">
        <v>33</v>
      </c>
      <c r="C35" s="9">
        <v>60</v>
      </c>
      <c r="D35" s="10">
        <v>219</v>
      </c>
      <c r="E35" s="10"/>
      <c r="F35" s="9">
        <f t="shared" si="0"/>
        <v>0</v>
      </c>
      <c r="G35" s="11">
        <f t="shared" si="1"/>
        <v>219</v>
      </c>
      <c r="H35" s="12">
        <v>1042.6500000000001</v>
      </c>
      <c r="I35" s="13">
        <f t="shared" si="2"/>
        <v>228340.35</v>
      </c>
      <c r="J35" s="14">
        <v>1110</v>
      </c>
      <c r="K35" s="13">
        <f t="shared" si="3"/>
        <v>243090</v>
      </c>
      <c r="L35" s="11">
        <f>G35-'21'!D35</f>
        <v>10</v>
      </c>
      <c r="M35" s="13">
        <f t="shared" si="4"/>
        <v>11100</v>
      </c>
    </row>
    <row r="36" spans="1:13">
      <c r="A36" s="7" t="s">
        <v>34</v>
      </c>
      <c r="B36" s="7" t="s">
        <v>35</v>
      </c>
      <c r="C36" s="9">
        <v>7</v>
      </c>
      <c r="D36" s="10">
        <v>25</v>
      </c>
      <c r="E36" s="10"/>
      <c r="F36" s="9">
        <f t="shared" si="0"/>
        <v>0</v>
      </c>
      <c r="G36" s="11">
        <f t="shared" si="1"/>
        <v>25</v>
      </c>
      <c r="H36" s="12">
        <v>126.24</v>
      </c>
      <c r="I36" s="13">
        <f t="shared" si="2"/>
        <v>3156</v>
      </c>
      <c r="J36" s="14">
        <v>140</v>
      </c>
      <c r="K36" s="13">
        <f t="shared" si="3"/>
        <v>3500</v>
      </c>
      <c r="L36" s="11">
        <f>G36-'21'!D36</f>
        <v>0</v>
      </c>
      <c r="M36" s="13">
        <f t="shared" si="4"/>
        <v>0</v>
      </c>
    </row>
    <row r="37" spans="1:13">
      <c r="A37" s="7" t="s">
        <v>36</v>
      </c>
      <c r="B37" s="7" t="s">
        <v>37</v>
      </c>
      <c r="C37" s="9">
        <v>125</v>
      </c>
      <c r="D37" s="10">
        <v>30</v>
      </c>
      <c r="E37" s="10">
        <v>20</v>
      </c>
      <c r="F37" s="9">
        <f t="shared" si="0"/>
        <v>41010.800000000003</v>
      </c>
      <c r="G37" s="11">
        <f t="shared" si="1"/>
        <v>50</v>
      </c>
      <c r="H37" s="12">
        <v>2050.54</v>
      </c>
      <c r="I37" s="13">
        <f t="shared" si="2"/>
        <v>61516.2</v>
      </c>
      <c r="J37" s="14">
        <v>2175</v>
      </c>
      <c r="K37" s="13">
        <f t="shared" si="3"/>
        <v>65250</v>
      </c>
      <c r="L37" s="11">
        <f>G37-'21'!D37</f>
        <v>5</v>
      </c>
      <c r="M37" s="13">
        <f t="shared" si="4"/>
        <v>10875</v>
      </c>
    </row>
    <row r="38" spans="1:13">
      <c r="A38" s="7" t="s">
        <v>38</v>
      </c>
      <c r="B38" s="7" t="s">
        <v>17</v>
      </c>
      <c r="C38" s="9">
        <v>20</v>
      </c>
      <c r="D38" s="10">
        <v>0</v>
      </c>
      <c r="E38" s="10"/>
      <c r="F38" s="9">
        <f t="shared" si="0"/>
        <v>0</v>
      </c>
      <c r="G38" s="11">
        <f t="shared" si="1"/>
        <v>0</v>
      </c>
      <c r="H38" s="12">
        <v>399.19</v>
      </c>
      <c r="I38" s="13">
        <f t="shared" si="2"/>
        <v>0</v>
      </c>
      <c r="J38" s="14">
        <v>420</v>
      </c>
      <c r="K38" s="13">
        <f t="shared" si="3"/>
        <v>0</v>
      </c>
      <c r="L38" s="11">
        <f>G38-'21'!D38</f>
        <v>0</v>
      </c>
      <c r="M38" s="13">
        <f t="shared" si="4"/>
        <v>0</v>
      </c>
    </row>
    <row r="39" spans="1:13">
      <c r="A39" s="7" t="s">
        <v>38</v>
      </c>
      <c r="B39" s="7" t="s">
        <v>18</v>
      </c>
      <c r="C39" s="9">
        <v>20</v>
      </c>
      <c r="D39" s="10">
        <v>0</v>
      </c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f>G39-'21'!D39</f>
        <v>0</v>
      </c>
      <c r="M39" s="13">
        <f t="shared" si="4"/>
        <v>0</v>
      </c>
    </row>
    <row r="40" spans="1:13">
      <c r="A40" s="7" t="s">
        <v>38</v>
      </c>
      <c r="B40" s="7" t="s">
        <v>21</v>
      </c>
      <c r="C40" s="9">
        <v>20</v>
      </c>
      <c r="D40" s="10">
        <v>0</v>
      </c>
      <c r="E40" s="10"/>
      <c r="F40" s="9">
        <f t="shared" si="0"/>
        <v>0</v>
      </c>
      <c r="G40" s="11">
        <f t="shared" si="1"/>
        <v>0</v>
      </c>
      <c r="H40" s="12">
        <v>399.19</v>
      </c>
      <c r="I40" s="13">
        <f t="shared" si="2"/>
        <v>0</v>
      </c>
      <c r="J40" s="14">
        <v>420</v>
      </c>
      <c r="K40" s="13">
        <f t="shared" si="3"/>
        <v>0</v>
      </c>
      <c r="L40" s="11">
        <f>G40-'21'!D40</f>
        <v>0</v>
      </c>
      <c r="M40" s="13">
        <f t="shared" si="4"/>
        <v>0</v>
      </c>
    </row>
    <row r="41" spans="1:13">
      <c r="A41" s="7" t="s">
        <v>39</v>
      </c>
      <c r="B41" s="7" t="s">
        <v>35</v>
      </c>
      <c r="C41" s="9">
        <v>9</v>
      </c>
      <c r="D41" s="10">
        <v>24</v>
      </c>
      <c r="E41" s="10"/>
      <c r="F41" s="9">
        <f t="shared" si="0"/>
        <v>0</v>
      </c>
      <c r="G41" s="11">
        <f t="shared" si="1"/>
        <v>24</v>
      </c>
      <c r="H41" s="12">
        <v>174.19</v>
      </c>
      <c r="I41" s="13">
        <f t="shared" si="2"/>
        <v>4180.5599999999995</v>
      </c>
      <c r="J41" s="14">
        <v>185</v>
      </c>
      <c r="K41" s="13">
        <f t="shared" si="3"/>
        <v>4440</v>
      </c>
      <c r="L41" s="11">
        <f>G41-'21'!D41</f>
        <v>6</v>
      </c>
      <c r="M41" s="13">
        <f t="shared" si="4"/>
        <v>1110</v>
      </c>
    </row>
    <row r="42" spans="1:13">
      <c r="A42" s="7" t="s">
        <v>40</v>
      </c>
      <c r="B42" s="7" t="s">
        <v>13</v>
      </c>
      <c r="C42" s="9">
        <v>35</v>
      </c>
      <c r="D42" s="10">
        <v>42</v>
      </c>
      <c r="E42" s="10"/>
      <c r="F42" s="9">
        <f t="shared" si="0"/>
        <v>0</v>
      </c>
      <c r="G42" s="11">
        <f t="shared" si="1"/>
        <v>42</v>
      </c>
      <c r="H42" s="12">
        <v>748.13</v>
      </c>
      <c r="I42" s="13">
        <f t="shared" si="2"/>
        <v>31421.46</v>
      </c>
      <c r="J42" s="14">
        <v>795</v>
      </c>
      <c r="K42" s="13">
        <f t="shared" si="3"/>
        <v>33390</v>
      </c>
      <c r="L42" s="11">
        <f>G42-'21'!D42</f>
        <v>5</v>
      </c>
      <c r="M42" s="13">
        <f t="shared" si="4"/>
        <v>3975</v>
      </c>
    </row>
    <row r="43" spans="1:13">
      <c r="A43" s="7" t="s">
        <v>41</v>
      </c>
      <c r="B43" s="7" t="s">
        <v>17</v>
      </c>
      <c r="C43" s="9">
        <v>40</v>
      </c>
      <c r="D43" s="10">
        <v>35</v>
      </c>
      <c r="E43" s="10"/>
      <c r="F43" s="9">
        <f t="shared" si="0"/>
        <v>0</v>
      </c>
      <c r="G43" s="11">
        <f t="shared" si="1"/>
        <v>35</v>
      </c>
      <c r="H43" s="12">
        <v>842.86</v>
      </c>
      <c r="I43" s="13">
        <f t="shared" si="2"/>
        <v>29500.100000000002</v>
      </c>
      <c r="J43" s="14">
        <v>900</v>
      </c>
      <c r="K43" s="13">
        <f t="shared" si="3"/>
        <v>31500</v>
      </c>
      <c r="L43" s="11">
        <f>G43-'21'!D43</f>
        <v>9</v>
      </c>
      <c r="M43" s="13">
        <f t="shared" si="4"/>
        <v>8100</v>
      </c>
    </row>
    <row r="44" spans="1:13">
      <c r="A44" s="7" t="s">
        <v>41</v>
      </c>
      <c r="B44" s="7" t="s">
        <v>18</v>
      </c>
      <c r="C44" s="9">
        <v>40</v>
      </c>
      <c r="D44" s="10">
        <v>28</v>
      </c>
      <c r="E44" s="10"/>
      <c r="F44" s="9">
        <f t="shared" si="0"/>
        <v>0</v>
      </c>
      <c r="G44" s="11">
        <f t="shared" si="1"/>
        <v>28</v>
      </c>
      <c r="H44" s="12">
        <v>842.86</v>
      </c>
      <c r="I44" s="13">
        <f t="shared" si="2"/>
        <v>23600.080000000002</v>
      </c>
      <c r="J44" s="14">
        <v>900</v>
      </c>
      <c r="K44" s="13">
        <f t="shared" si="3"/>
        <v>25200</v>
      </c>
      <c r="L44" s="11">
        <f>G44-'21'!D44</f>
        <v>4</v>
      </c>
      <c r="M44" s="13">
        <f t="shared" si="4"/>
        <v>3600</v>
      </c>
    </row>
    <row r="45" spans="1:13">
      <c r="A45" s="7" t="s">
        <v>41</v>
      </c>
      <c r="B45" s="7" t="s">
        <v>19</v>
      </c>
      <c r="C45" s="9">
        <v>40</v>
      </c>
      <c r="D45" s="10">
        <v>0</v>
      </c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f>G45-'21'!D45</f>
        <v>0</v>
      </c>
      <c r="M45" s="13">
        <f t="shared" si="4"/>
        <v>0</v>
      </c>
    </row>
    <row r="46" spans="1:13">
      <c r="A46" s="7" t="s">
        <v>41</v>
      </c>
      <c r="B46" s="7" t="s">
        <v>20</v>
      </c>
      <c r="C46" s="9">
        <v>40</v>
      </c>
      <c r="D46" s="10">
        <v>0</v>
      </c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f>G46-'21'!D46</f>
        <v>0</v>
      </c>
      <c r="M46" s="13">
        <f t="shared" si="4"/>
        <v>0</v>
      </c>
    </row>
    <row r="47" spans="1:13">
      <c r="A47" s="7" t="s">
        <v>41</v>
      </c>
      <c r="B47" s="7" t="s">
        <v>21</v>
      </c>
      <c r="C47" s="9">
        <v>40</v>
      </c>
      <c r="D47" s="10">
        <v>0</v>
      </c>
      <c r="E47" s="10"/>
      <c r="F47" s="9">
        <f t="shared" si="0"/>
        <v>0</v>
      </c>
      <c r="G47" s="11">
        <f t="shared" si="1"/>
        <v>0</v>
      </c>
      <c r="H47" s="12">
        <v>839.68</v>
      </c>
      <c r="I47" s="13">
        <f t="shared" si="2"/>
        <v>0</v>
      </c>
      <c r="J47" s="14">
        <v>900</v>
      </c>
      <c r="K47" s="13">
        <f t="shared" si="3"/>
        <v>0</v>
      </c>
      <c r="L47" s="11">
        <f>G47-'21'!D47</f>
        <v>0</v>
      </c>
      <c r="M47" s="13">
        <f t="shared" si="4"/>
        <v>0</v>
      </c>
    </row>
    <row r="48" spans="1:13">
      <c r="A48" s="7" t="s">
        <v>42</v>
      </c>
      <c r="B48" s="7" t="s">
        <v>29</v>
      </c>
      <c r="C48" s="9">
        <v>18</v>
      </c>
      <c r="D48" s="10">
        <v>50</v>
      </c>
      <c r="E48" s="10"/>
      <c r="F48" s="9">
        <f t="shared" si="0"/>
        <v>0</v>
      </c>
      <c r="G48" s="11">
        <f t="shared" si="1"/>
        <v>50</v>
      </c>
      <c r="H48" s="12">
        <v>375.68</v>
      </c>
      <c r="I48" s="13">
        <f t="shared" si="2"/>
        <v>18784</v>
      </c>
      <c r="J48" s="14">
        <v>400</v>
      </c>
      <c r="K48" s="13">
        <f t="shared" si="3"/>
        <v>20000</v>
      </c>
      <c r="L48" s="11">
        <f>G48-'21'!D48</f>
        <v>8</v>
      </c>
      <c r="M48" s="13">
        <f t="shared" si="4"/>
        <v>3200</v>
      </c>
    </row>
    <row r="49" spans="1:13">
      <c r="A49" s="7" t="s">
        <v>54</v>
      </c>
      <c r="B49" s="7" t="s">
        <v>44</v>
      </c>
      <c r="C49" s="9">
        <v>50</v>
      </c>
      <c r="D49" s="10">
        <v>0</v>
      </c>
      <c r="E49" s="11"/>
      <c r="F49" s="9">
        <f t="shared" si="0"/>
        <v>0</v>
      </c>
      <c r="G49" s="11">
        <f t="shared" si="1"/>
        <v>0</v>
      </c>
      <c r="H49" s="12">
        <v>670.32</v>
      </c>
      <c r="I49" s="13">
        <f t="shared" si="2"/>
        <v>0</v>
      </c>
      <c r="J49" s="14">
        <v>710</v>
      </c>
      <c r="K49" s="13">
        <f t="shared" si="3"/>
        <v>0</v>
      </c>
      <c r="L49" s="11">
        <f>G49-'21'!D49</f>
        <v>0</v>
      </c>
      <c r="M49" s="13">
        <f t="shared" si="4"/>
        <v>0</v>
      </c>
    </row>
    <row r="50" spans="1:13">
      <c r="A50" s="7" t="s">
        <v>43</v>
      </c>
      <c r="B50" s="7" t="s">
        <v>17</v>
      </c>
      <c r="C50" s="9">
        <v>50</v>
      </c>
      <c r="D50" s="10">
        <v>19</v>
      </c>
      <c r="E50" s="10">
        <v>110</v>
      </c>
      <c r="F50" s="9">
        <f t="shared" si="0"/>
        <v>72734.2</v>
      </c>
      <c r="G50" s="11">
        <f t="shared" si="1"/>
        <v>129</v>
      </c>
      <c r="H50" s="12">
        <v>661.22</v>
      </c>
      <c r="I50" s="13">
        <f t="shared" si="2"/>
        <v>12563.18</v>
      </c>
      <c r="J50" s="14">
        <v>710</v>
      </c>
      <c r="K50" s="13">
        <f t="shared" si="3"/>
        <v>13490</v>
      </c>
      <c r="L50" s="11">
        <f>G50-'21'!D50</f>
        <v>14</v>
      </c>
      <c r="M50" s="13">
        <f t="shared" si="4"/>
        <v>9940</v>
      </c>
    </row>
    <row r="51" spans="1:13">
      <c r="A51" s="7" t="s">
        <v>43</v>
      </c>
      <c r="B51" s="7" t="s">
        <v>18</v>
      </c>
      <c r="C51" s="9">
        <v>50</v>
      </c>
      <c r="D51" s="10">
        <v>12</v>
      </c>
      <c r="E51" s="10">
        <v>55</v>
      </c>
      <c r="F51" s="9">
        <f t="shared" si="0"/>
        <v>36367.1</v>
      </c>
      <c r="G51" s="11">
        <f t="shared" si="1"/>
        <v>67</v>
      </c>
      <c r="H51" s="12">
        <v>661.22</v>
      </c>
      <c r="I51" s="13">
        <f t="shared" si="2"/>
        <v>7934.64</v>
      </c>
      <c r="J51" s="14">
        <v>710</v>
      </c>
      <c r="K51" s="13">
        <f t="shared" si="3"/>
        <v>8520</v>
      </c>
      <c r="L51" s="11">
        <f>G51-'21'!D51</f>
        <v>10</v>
      </c>
      <c r="M51" s="13">
        <f t="shared" si="4"/>
        <v>7100</v>
      </c>
    </row>
    <row r="52" spans="1:13">
      <c r="A52" s="7" t="s">
        <v>43</v>
      </c>
      <c r="B52" s="7" t="s">
        <v>19</v>
      </c>
      <c r="C52" s="9">
        <v>50</v>
      </c>
      <c r="D52" s="10">
        <v>0</v>
      </c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f>G52-'21'!D52</f>
        <v>0</v>
      </c>
      <c r="M52" s="13">
        <f t="shared" si="4"/>
        <v>0</v>
      </c>
    </row>
    <row r="53" spans="1:13">
      <c r="A53" s="7" t="s">
        <v>43</v>
      </c>
      <c r="B53" s="7" t="s">
        <v>20</v>
      </c>
      <c r="C53" s="9">
        <v>50</v>
      </c>
      <c r="D53" s="10">
        <v>0</v>
      </c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f>G53-'21'!D53</f>
        <v>0</v>
      </c>
      <c r="M53" s="13">
        <f t="shared" si="4"/>
        <v>0</v>
      </c>
    </row>
    <row r="54" spans="1:13">
      <c r="A54" s="7" t="s">
        <v>43</v>
      </c>
      <c r="B54" s="7" t="s">
        <v>21</v>
      </c>
      <c r="C54" s="9">
        <v>50</v>
      </c>
      <c r="D54" s="10">
        <v>0</v>
      </c>
      <c r="E54" s="10"/>
      <c r="F54" s="9">
        <f t="shared" si="0"/>
        <v>0</v>
      </c>
      <c r="G54" s="11">
        <f t="shared" si="1"/>
        <v>0</v>
      </c>
      <c r="H54" s="12">
        <v>661.22</v>
      </c>
      <c r="I54" s="13">
        <f t="shared" si="2"/>
        <v>0</v>
      </c>
      <c r="J54" s="14">
        <v>710</v>
      </c>
      <c r="K54" s="13">
        <f t="shared" si="3"/>
        <v>0</v>
      </c>
      <c r="L54" s="11">
        <f>G54-'21'!D54</f>
        <v>0</v>
      </c>
      <c r="M54" s="13">
        <f t="shared" si="4"/>
        <v>0</v>
      </c>
    </row>
    <row r="55" spans="1:13">
      <c r="A55" s="7" t="s">
        <v>43</v>
      </c>
      <c r="B55" s="7" t="s">
        <v>44</v>
      </c>
      <c r="C55" s="9">
        <v>85</v>
      </c>
      <c r="D55" s="10">
        <v>3</v>
      </c>
      <c r="E55" s="10">
        <v>12</v>
      </c>
      <c r="F55" s="9">
        <f t="shared" si="0"/>
        <v>9564.84</v>
      </c>
      <c r="G55" s="11">
        <f t="shared" si="1"/>
        <v>15</v>
      </c>
      <c r="H55" s="12">
        <v>797.07</v>
      </c>
      <c r="I55" s="13">
        <f t="shared" si="2"/>
        <v>2391.21</v>
      </c>
      <c r="J55" s="14">
        <v>845</v>
      </c>
      <c r="K55" s="13">
        <f t="shared" si="3"/>
        <v>2535</v>
      </c>
      <c r="L55" s="11">
        <f>G55-'21'!D55</f>
        <v>0</v>
      </c>
      <c r="M55" s="13">
        <f t="shared" si="4"/>
        <v>0</v>
      </c>
    </row>
    <row r="56" spans="1:13">
      <c r="A56" s="7" t="s">
        <v>45</v>
      </c>
      <c r="B56" s="7" t="s">
        <v>35</v>
      </c>
      <c r="C56" s="9">
        <v>18</v>
      </c>
      <c r="D56" s="10">
        <v>602</v>
      </c>
      <c r="E56" s="10">
        <v>96</v>
      </c>
      <c r="F56" s="9">
        <f t="shared" si="0"/>
        <v>15433.920000000002</v>
      </c>
      <c r="G56" s="11">
        <f t="shared" si="1"/>
        <v>698</v>
      </c>
      <c r="H56" s="12">
        <v>160.77000000000001</v>
      </c>
      <c r="I56" s="13">
        <f t="shared" si="2"/>
        <v>96783.540000000008</v>
      </c>
      <c r="J56" s="14">
        <v>175</v>
      </c>
      <c r="K56" s="13">
        <f t="shared" si="3"/>
        <v>105350</v>
      </c>
      <c r="L56" s="11">
        <f>G56-'21'!D56</f>
        <v>49</v>
      </c>
      <c r="M56" s="13">
        <f t="shared" si="4"/>
        <v>8575</v>
      </c>
    </row>
    <row r="57" spans="1:13">
      <c r="A57" s="7" t="s">
        <v>46</v>
      </c>
      <c r="B57" s="7" t="s">
        <v>13</v>
      </c>
      <c r="C57" s="9">
        <v>70</v>
      </c>
      <c r="D57" s="10">
        <v>9</v>
      </c>
      <c r="E57" s="10">
        <v>11</v>
      </c>
      <c r="F57" s="9">
        <f t="shared" si="0"/>
        <v>8194.89</v>
      </c>
      <c r="G57" s="11">
        <f t="shared" si="1"/>
        <v>20</v>
      </c>
      <c r="H57" s="12">
        <v>744.99</v>
      </c>
      <c r="I57" s="13">
        <f t="shared" si="2"/>
        <v>6704.91</v>
      </c>
      <c r="J57" s="14">
        <v>790</v>
      </c>
      <c r="K57" s="13">
        <f t="shared" si="3"/>
        <v>7110</v>
      </c>
      <c r="L57" s="11">
        <f>G57-'21'!D57</f>
        <v>3</v>
      </c>
      <c r="M57" s="13">
        <f t="shared" si="4"/>
        <v>2370</v>
      </c>
    </row>
    <row r="58" spans="1:13">
      <c r="A58" s="7" t="s">
        <v>47</v>
      </c>
      <c r="B58" s="7" t="s">
        <v>29</v>
      </c>
      <c r="C58" s="9">
        <v>30</v>
      </c>
      <c r="D58" s="10">
        <v>0</v>
      </c>
      <c r="E58" s="10"/>
      <c r="F58" s="9">
        <f t="shared" si="0"/>
        <v>0</v>
      </c>
      <c r="G58" s="11">
        <f t="shared" si="1"/>
        <v>0</v>
      </c>
      <c r="H58" s="12">
        <v>316.14999999999998</v>
      </c>
      <c r="I58" s="13">
        <f t="shared" si="2"/>
        <v>0</v>
      </c>
      <c r="J58" s="14">
        <v>336</v>
      </c>
      <c r="K58" s="13">
        <f t="shared" si="3"/>
        <v>0</v>
      </c>
      <c r="L58" s="11">
        <f>G58-'21'!D58</f>
        <v>0</v>
      </c>
      <c r="M58" s="13">
        <f t="shared" si="4"/>
        <v>0</v>
      </c>
    </row>
    <row r="59" spans="1:13">
      <c r="A59" s="7" t="s">
        <v>48</v>
      </c>
      <c r="B59" s="7" t="s">
        <v>13</v>
      </c>
      <c r="C59" s="9">
        <v>95</v>
      </c>
      <c r="D59" s="10">
        <v>6</v>
      </c>
      <c r="E59" s="10">
        <v>20</v>
      </c>
      <c r="F59" s="9">
        <f t="shared" si="0"/>
        <v>20858</v>
      </c>
      <c r="G59" s="11">
        <f t="shared" si="1"/>
        <v>26</v>
      </c>
      <c r="H59" s="12">
        <v>1042.9000000000001</v>
      </c>
      <c r="I59" s="13">
        <f t="shared" si="2"/>
        <v>6257.4000000000005</v>
      </c>
      <c r="J59" s="14">
        <v>1105</v>
      </c>
      <c r="K59" s="13">
        <f t="shared" si="3"/>
        <v>6630</v>
      </c>
      <c r="L59" s="11">
        <f>G59-'21'!D59</f>
        <v>4</v>
      </c>
      <c r="M59" s="13">
        <f t="shared" si="4"/>
        <v>4420</v>
      </c>
    </row>
    <row r="60" spans="1:13">
      <c r="A60" s="7" t="s">
        <v>49</v>
      </c>
      <c r="B60" s="7" t="s">
        <v>35</v>
      </c>
      <c r="C60" s="9">
        <v>28</v>
      </c>
      <c r="D60" s="10">
        <v>16</v>
      </c>
      <c r="E60" s="10"/>
      <c r="F60" s="9">
        <f t="shared" si="0"/>
        <v>0</v>
      </c>
      <c r="G60" s="11">
        <f t="shared" si="1"/>
        <v>16</v>
      </c>
      <c r="H60" s="12">
        <v>165.06</v>
      </c>
      <c r="I60" s="13">
        <f t="shared" si="2"/>
        <v>2640.96</v>
      </c>
      <c r="J60" s="14">
        <v>180</v>
      </c>
      <c r="K60" s="13">
        <f t="shared" si="3"/>
        <v>2880</v>
      </c>
      <c r="L60" s="11">
        <f>G60-'21'!D60</f>
        <v>4</v>
      </c>
      <c r="M60" s="13">
        <f t="shared" si="4"/>
        <v>720</v>
      </c>
    </row>
    <row r="61" spans="1:13">
      <c r="A61" s="7" t="s">
        <v>50</v>
      </c>
      <c r="B61" s="7" t="s">
        <v>17</v>
      </c>
      <c r="C61" s="9">
        <v>70</v>
      </c>
      <c r="D61" s="10">
        <v>0</v>
      </c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f>G61-'21'!D61</f>
        <v>0</v>
      </c>
      <c r="M61" s="13">
        <f t="shared" si="4"/>
        <v>0</v>
      </c>
    </row>
    <row r="62" spans="1:13">
      <c r="A62" s="7" t="s">
        <v>50</v>
      </c>
      <c r="B62" s="7" t="s">
        <v>18</v>
      </c>
      <c r="C62" s="9">
        <v>70</v>
      </c>
      <c r="D62" s="10">
        <v>0</v>
      </c>
      <c r="E62" s="10"/>
      <c r="F62" s="9">
        <f t="shared" si="0"/>
        <v>0</v>
      </c>
      <c r="G62" s="11">
        <f t="shared" si="1"/>
        <v>0</v>
      </c>
      <c r="H62" s="12">
        <v>721.25</v>
      </c>
      <c r="I62" s="13">
        <f t="shared" si="2"/>
        <v>0</v>
      </c>
      <c r="J62" s="14">
        <v>771</v>
      </c>
      <c r="K62" s="13">
        <f t="shared" si="3"/>
        <v>0</v>
      </c>
      <c r="L62" s="11">
        <f>G62-'21'!D62</f>
        <v>0</v>
      </c>
      <c r="M62" s="13">
        <f t="shared" si="4"/>
        <v>0</v>
      </c>
    </row>
    <row r="63" spans="1:13">
      <c r="A63" s="7" t="s">
        <v>51</v>
      </c>
      <c r="B63" s="7" t="s">
        <v>17</v>
      </c>
      <c r="C63" s="9">
        <v>100</v>
      </c>
      <c r="D63" s="10">
        <v>131</v>
      </c>
      <c r="E63" s="10">
        <v>112</v>
      </c>
      <c r="F63" s="9">
        <f t="shared" si="0"/>
        <v>88579.68</v>
      </c>
      <c r="G63" s="11">
        <f t="shared" si="1"/>
        <v>243</v>
      </c>
      <c r="H63" s="12">
        <v>790.89</v>
      </c>
      <c r="I63" s="13">
        <f t="shared" si="2"/>
        <v>103606.59</v>
      </c>
      <c r="J63" s="14">
        <v>845</v>
      </c>
      <c r="K63" s="13">
        <f t="shared" si="3"/>
        <v>110695</v>
      </c>
      <c r="L63" s="11">
        <f>G63-'21'!D63</f>
        <v>38</v>
      </c>
      <c r="M63" s="13">
        <f t="shared" si="4"/>
        <v>32110</v>
      </c>
    </row>
    <row r="64" spans="1:13">
      <c r="A64" s="7" t="s">
        <v>51</v>
      </c>
      <c r="B64" s="7" t="s">
        <v>18</v>
      </c>
      <c r="C64" s="9">
        <v>100</v>
      </c>
      <c r="D64" s="10">
        <v>54</v>
      </c>
      <c r="E64" s="10">
        <v>56</v>
      </c>
      <c r="F64" s="9">
        <f t="shared" si="0"/>
        <v>44289.84</v>
      </c>
      <c r="G64" s="11">
        <f t="shared" si="1"/>
        <v>110</v>
      </c>
      <c r="H64" s="12">
        <v>790.89</v>
      </c>
      <c r="I64" s="13">
        <f t="shared" si="2"/>
        <v>42708.06</v>
      </c>
      <c r="J64" s="14">
        <v>845</v>
      </c>
      <c r="K64" s="13">
        <f t="shared" si="3"/>
        <v>45630</v>
      </c>
      <c r="L64" s="11">
        <f>G64-'21'!D64</f>
        <v>30</v>
      </c>
      <c r="M64" s="13">
        <f t="shared" si="4"/>
        <v>25350</v>
      </c>
    </row>
    <row r="65" spans="1:13">
      <c r="A65" s="7" t="s">
        <v>51</v>
      </c>
      <c r="B65" s="7" t="s">
        <v>19</v>
      </c>
      <c r="C65" s="9">
        <v>100</v>
      </c>
      <c r="D65" s="10">
        <v>0</v>
      </c>
      <c r="E65" s="10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f>G65-'21'!D65</f>
        <v>0</v>
      </c>
      <c r="M65" s="13">
        <f t="shared" si="4"/>
        <v>0</v>
      </c>
    </row>
    <row r="66" spans="1:13">
      <c r="A66" s="7" t="s">
        <v>51</v>
      </c>
      <c r="B66" s="7" t="s">
        <v>20</v>
      </c>
      <c r="C66" s="9">
        <v>100</v>
      </c>
      <c r="D66" s="10">
        <v>0</v>
      </c>
      <c r="E66" s="11"/>
      <c r="F66" s="9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f>G66-'21'!D66</f>
        <v>0</v>
      </c>
      <c r="M66" s="13">
        <f t="shared" si="4"/>
        <v>0</v>
      </c>
    </row>
    <row r="67" spans="1:13">
      <c r="A67" s="7" t="s">
        <v>51</v>
      </c>
      <c r="B67" s="7" t="s">
        <v>21</v>
      </c>
      <c r="C67" s="9">
        <v>100</v>
      </c>
      <c r="D67" s="10">
        <v>0</v>
      </c>
      <c r="E67" s="11"/>
      <c r="F67" s="15">
        <f t="shared" si="0"/>
        <v>0</v>
      </c>
      <c r="G67" s="11">
        <f t="shared" si="1"/>
        <v>0</v>
      </c>
      <c r="H67" s="12">
        <v>790.89</v>
      </c>
      <c r="I67" s="13">
        <f t="shared" si="2"/>
        <v>0</v>
      </c>
      <c r="J67" s="14">
        <v>845</v>
      </c>
      <c r="K67" s="13">
        <f t="shared" si="3"/>
        <v>0</v>
      </c>
      <c r="L67" s="11">
        <f>G67-'21'!D67</f>
        <v>0</v>
      </c>
      <c r="M67" s="13">
        <f t="shared" si="4"/>
        <v>0</v>
      </c>
    </row>
    <row r="68" spans="1:13">
      <c r="A68" s="35" t="s">
        <v>52</v>
      </c>
      <c r="B68" s="36"/>
      <c r="C68" s="37"/>
      <c r="D68" s="16">
        <f>SUM(D2:D67)</f>
        <v>3510</v>
      </c>
      <c r="E68" s="17">
        <f>SUM(E2:E67)</f>
        <v>690</v>
      </c>
      <c r="F68" s="18">
        <f>SUM(F2:F67)</f>
        <v>443948.77</v>
      </c>
      <c r="G68" s="17">
        <f>SUM(G2:G67)</f>
        <v>4200</v>
      </c>
      <c r="H68" s="19"/>
      <c r="I68" s="20">
        <f>SUM(I2:I67)</f>
        <v>1418014.5699999998</v>
      </c>
      <c r="J68" s="21">
        <f>SUM(J2:J67)</f>
        <v>41132</v>
      </c>
      <c r="K68" s="22">
        <f>SUM(K2:K67)</f>
        <v>1517583</v>
      </c>
      <c r="L68" s="23">
        <f>SUM(L2:L67)</f>
        <v>527</v>
      </c>
      <c r="M68" s="24">
        <f>SUM(M2:M67)</f>
        <v>252809</v>
      </c>
    </row>
    <row r="71" spans="1:13">
      <c r="F71" s="31"/>
    </row>
    <row r="74" spans="1:13">
      <c r="I74" s="33"/>
      <c r="J74" s="32"/>
      <c r="K74" s="33"/>
    </row>
    <row r="75" spans="1:13">
      <c r="I75" s="33"/>
      <c r="J75" s="32"/>
      <c r="K75" s="33"/>
    </row>
    <row r="76" spans="1:13">
      <c r="I76" s="33"/>
      <c r="J76" s="29"/>
      <c r="K76" s="30"/>
    </row>
    <row r="77" spans="1:13">
      <c r="D77" s="25" t="s">
        <v>53</v>
      </c>
      <c r="I77" s="33"/>
      <c r="J77" s="34"/>
      <c r="K77" s="34"/>
    </row>
    <row r="78" spans="1:13"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  <c r="I80" s="33"/>
      <c r="J80" s="32"/>
      <c r="K80" s="33"/>
    </row>
    <row r="81" spans="6:6">
      <c r="F81" s="26"/>
    </row>
  </sheetData>
  <mergeCells count="1">
    <mergeCell ref="A68:C6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81"/>
  <sheetViews>
    <sheetView topLeftCell="A45" workbookViewId="0">
      <selection activeCell="O62" sqref="O62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263</v>
      </c>
      <c r="E2" s="11"/>
      <c r="F2" s="9">
        <f>E2*H2</f>
        <v>0</v>
      </c>
      <c r="G2" s="11">
        <f>D2+E2</f>
        <v>263</v>
      </c>
      <c r="H2" s="12">
        <v>308.13</v>
      </c>
      <c r="I2" s="13">
        <f>H2*D2</f>
        <v>81038.19</v>
      </c>
      <c r="J2" s="14">
        <v>326</v>
      </c>
      <c r="K2" s="13">
        <f>J2*D2</f>
        <v>85738</v>
      </c>
      <c r="L2" s="11">
        <f>G2-'22'!D2</f>
        <v>23</v>
      </c>
      <c r="M2" s="13">
        <f>L2*J2</f>
        <v>7498</v>
      </c>
    </row>
    <row r="3" spans="1:13">
      <c r="A3" s="7" t="s">
        <v>12</v>
      </c>
      <c r="B3" s="8" t="s">
        <v>14</v>
      </c>
      <c r="C3" s="9">
        <v>9</v>
      </c>
      <c r="D3" s="10">
        <v>73</v>
      </c>
      <c r="E3" s="11"/>
      <c r="F3" s="9">
        <f t="shared" ref="F3:F67" si="0">E3*H3</f>
        <v>0</v>
      </c>
      <c r="G3" s="11">
        <f t="shared" ref="G3:G67" si="1">D3+E3</f>
        <v>73</v>
      </c>
      <c r="H3" s="12">
        <v>308.19</v>
      </c>
      <c r="I3" s="13">
        <f t="shared" ref="I3:I67" si="2">H3*D3</f>
        <v>22497.87</v>
      </c>
      <c r="J3" s="14">
        <v>326</v>
      </c>
      <c r="K3" s="13">
        <f t="shared" ref="K3:K67" si="3">J3*D3</f>
        <v>23798</v>
      </c>
      <c r="L3" s="11">
        <f>G3-'22'!D3</f>
        <v>4</v>
      </c>
      <c r="M3" s="13">
        <f t="shared" ref="M3:M67" si="4">L3*J3</f>
        <v>1304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f>G4-'22'!D4</f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176</v>
      </c>
      <c r="E5" s="11"/>
      <c r="F5" s="9">
        <f t="shared" si="0"/>
        <v>0</v>
      </c>
      <c r="G5" s="11">
        <f t="shared" si="1"/>
        <v>176</v>
      </c>
      <c r="H5" s="12">
        <v>174.77</v>
      </c>
      <c r="I5" s="13">
        <f t="shared" si="2"/>
        <v>30759.52</v>
      </c>
      <c r="J5" s="14">
        <v>192</v>
      </c>
      <c r="K5" s="13">
        <f t="shared" si="3"/>
        <v>33792</v>
      </c>
      <c r="L5" s="11">
        <f>G5-'22'!D5</f>
        <v>31</v>
      </c>
      <c r="M5" s="13">
        <f t="shared" si="4"/>
        <v>5952</v>
      </c>
    </row>
    <row r="6" spans="1:13">
      <c r="A6" s="7" t="s">
        <v>16</v>
      </c>
      <c r="B6" s="8" t="s">
        <v>18</v>
      </c>
      <c r="C6" s="9">
        <v>10</v>
      </c>
      <c r="D6" s="10">
        <v>147</v>
      </c>
      <c r="E6" s="11"/>
      <c r="F6" s="9">
        <f t="shared" si="0"/>
        <v>0</v>
      </c>
      <c r="G6" s="11">
        <f t="shared" si="1"/>
        <v>147</v>
      </c>
      <c r="H6" s="12">
        <v>174.77</v>
      </c>
      <c r="I6" s="13">
        <f t="shared" si="2"/>
        <v>25691.190000000002</v>
      </c>
      <c r="J6" s="14">
        <v>192</v>
      </c>
      <c r="K6" s="13">
        <f t="shared" si="3"/>
        <v>28224</v>
      </c>
      <c r="L6" s="11">
        <f>G6-'22'!D6</f>
        <v>16</v>
      </c>
      <c r="M6" s="13">
        <f t="shared" si="4"/>
        <v>3072</v>
      </c>
    </row>
    <row r="7" spans="1:13">
      <c r="A7" s="7" t="s">
        <v>16</v>
      </c>
      <c r="B7" s="8" t="s">
        <v>19</v>
      </c>
      <c r="C7" s="9">
        <v>10</v>
      </c>
      <c r="D7" s="10">
        <v>21</v>
      </c>
      <c r="E7" s="11"/>
      <c r="F7" s="9">
        <f t="shared" si="0"/>
        <v>0</v>
      </c>
      <c r="G7" s="11">
        <f t="shared" si="1"/>
        <v>21</v>
      </c>
      <c r="H7" s="12">
        <v>174.77</v>
      </c>
      <c r="I7" s="13">
        <f t="shared" si="2"/>
        <v>3670.17</v>
      </c>
      <c r="J7" s="14">
        <v>192</v>
      </c>
      <c r="K7" s="13">
        <f t="shared" si="3"/>
        <v>4032</v>
      </c>
      <c r="L7" s="11">
        <f>G7-'22'!D7</f>
        <v>2</v>
      </c>
      <c r="M7" s="13">
        <f t="shared" si="4"/>
        <v>384</v>
      </c>
    </row>
    <row r="8" spans="1:13">
      <c r="A8" s="7" t="s">
        <v>16</v>
      </c>
      <c r="B8" s="8" t="s">
        <v>20</v>
      </c>
      <c r="C8" s="9">
        <v>10</v>
      </c>
      <c r="D8" s="10">
        <v>69</v>
      </c>
      <c r="E8" s="11"/>
      <c r="F8" s="9">
        <f t="shared" si="0"/>
        <v>0</v>
      </c>
      <c r="G8" s="11">
        <f t="shared" si="1"/>
        <v>69</v>
      </c>
      <c r="H8" s="12">
        <v>174.77</v>
      </c>
      <c r="I8" s="13">
        <f t="shared" si="2"/>
        <v>12059.130000000001</v>
      </c>
      <c r="J8" s="14">
        <v>192</v>
      </c>
      <c r="K8" s="13">
        <f t="shared" si="3"/>
        <v>13248</v>
      </c>
      <c r="L8" s="11">
        <f>G8-'22'!D8</f>
        <v>5</v>
      </c>
      <c r="M8" s="13">
        <f t="shared" si="4"/>
        <v>960</v>
      </c>
    </row>
    <row r="9" spans="1:13">
      <c r="A9" s="7" t="s">
        <v>16</v>
      </c>
      <c r="B9" s="8" t="s">
        <v>21</v>
      </c>
      <c r="C9" s="9">
        <v>10</v>
      </c>
      <c r="D9" s="10">
        <v>105</v>
      </c>
      <c r="E9" s="11"/>
      <c r="F9" s="9">
        <f t="shared" si="0"/>
        <v>0</v>
      </c>
      <c r="G9" s="11">
        <f t="shared" si="1"/>
        <v>105</v>
      </c>
      <c r="H9" s="12">
        <v>174.77</v>
      </c>
      <c r="I9" s="13">
        <f t="shared" si="2"/>
        <v>18350.850000000002</v>
      </c>
      <c r="J9" s="14">
        <v>192</v>
      </c>
      <c r="K9" s="13">
        <f t="shared" si="3"/>
        <v>20160</v>
      </c>
      <c r="L9" s="11">
        <f>G9-'22'!D9</f>
        <v>8</v>
      </c>
      <c r="M9" s="13">
        <f t="shared" si="4"/>
        <v>1536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f>G10-'22'!D10</f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14</v>
      </c>
      <c r="E11" s="11"/>
      <c r="F11" s="9">
        <f t="shared" si="0"/>
        <v>0</v>
      </c>
      <c r="G11" s="11">
        <f t="shared" si="1"/>
        <v>14</v>
      </c>
      <c r="H11" s="12">
        <v>470.8</v>
      </c>
      <c r="I11" s="13">
        <f t="shared" si="2"/>
        <v>6591.2</v>
      </c>
      <c r="J11" s="14">
        <v>505</v>
      </c>
      <c r="K11" s="13">
        <f t="shared" si="3"/>
        <v>7070</v>
      </c>
      <c r="L11" s="11">
        <f>G11-'22'!D11</f>
        <v>4</v>
      </c>
      <c r="M11" s="13">
        <f t="shared" si="4"/>
        <v>2020</v>
      </c>
    </row>
    <row r="12" spans="1:13">
      <c r="A12" s="7" t="s">
        <v>22</v>
      </c>
      <c r="B12" s="8" t="s">
        <v>17</v>
      </c>
      <c r="C12" s="9">
        <v>20</v>
      </c>
      <c r="D12" s="10">
        <v>341</v>
      </c>
      <c r="E12" s="11"/>
      <c r="F12" s="9">
        <f>E12*H12</f>
        <v>0</v>
      </c>
      <c r="G12" s="11">
        <f t="shared" si="1"/>
        <v>341</v>
      </c>
      <c r="H12" s="12">
        <v>475.77</v>
      </c>
      <c r="I12" s="13">
        <f t="shared" si="2"/>
        <v>162237.57</v>
      </c>
      <c r="J12" s="14">
        <v>505</v>
      </c>
      <c r="K12" s="13">
        <f t="shared" si="3"/>
        <v>172205</v>
      </c>
      <c r="L12" s="11">
        <f>G12-'22'!D12</f>
        <v>79</v>
      </c>
      <c r="M12" s="13">
        <f t="shared" si="4"/>
        <v>39895</v>
      </c>
    </row>
    <row r="13" spans="1:13">
      <c r="A13" s="7" t="s">
        <v>22</v>
      </c>
      <c r="B13" s="8" t="s">
        <v>18</v>
      </c>
      <c r="C13" s="9">
        <v>20</v>
      </c>
      <c r="D13" s="10">
        <v>267</v>
      </c>
      <c r="E13" s="11"/>
      <c r="F13" s="9">
        <f t="shared" si="0"/>
        <v>0</v>
      </c>
      <c r="G13" s="11">
        <f t="shared" si="1"/>
        <v>267</v>
      </c>
      <c r="H13" s="12">
        <v>475.77</v>
      </c>
      <c r="I13" s="13">
        <f t="shared" si="2"/>
        <v>127030.59</v>
      </c>
      <c r="J13" s="14">
        <v>505</v>
      </c>
      <c r="K13" s="13">
        <f t="shared" si="3"/>
        <v>134835</v>
      </c>
      <c r="L13" s="11">
        <f>G13-'22'!D13</f>
        <v>47</v>
      </c>
      <c r="M13" s="13">
        <f t="shared" si="4"/>
        <v>23735</v>
      </c>
    </row>
    <row r="14" spans="1:13">
      <c r="A14" s="7" t="s">
        <v>22</v>
      </c>
      <c r="B14" s="8" t="s">
        <v>19</v>
      </c>
      <c r="C14" s="9">
        <v>20</v>
      </c>
      <c r="D14" s="10">
        <v>35</v>
      </c>
      <c r="E14" s="11"/>
      <c r="F14" s="9">
        <f t="shared" si="0"/>
        <v>0</v>
      </c>
      <c r="G14" s="11">
        <f t="shared" si="1"/>
        <v>35</v>
      </c>
      <c r="H14" s="12">
        <v>470.8</v>
      </c>
      <c r="I14" s="13">
        <f t="shared" si="2"/>
        <v>16478</v>
      </c>
      <c r="J14" s="14">
        <v>505</v>
      </c>
      <c r="K14" s="13">
        <f t="shared" si="3"/>
        <v>17675</v>
      </c>
      <c r="L14" s="11">
        <f>G14-'22'!D14</f>
        <v>10</v>
      </c>
      <c r="M14" s="13">
        <f t="shared" si="4"/>
        <v>5050</v>
      </c>
    </row>
    <row r="15" spans="1:13">
      <c r="A15" s="7" t="s">
        <v>22</v>
      </c>
      <c r="B15" s="8" t="s">
        <v>20</v>
      </c>
      <c r="C15" s="9">
        <v>20</v>
      </c>
      <c r="D15" s="10">
        <v>48</v>
      </c>
      <c r="E15" s="11"/>
      <c r="F15" s="9">
        <f t="shared" si="0"/>
        <v>0</v>
      </c>
      <c r="G15" s="11">
        <f t="shared" si="1"/>
        <v>48</v>
      </c>
      <c r="H15" s="12">
        <v>470.8</v>
      </c>
      <c r="I15" s="13">
        <f t="shared" si="2"/>
        <v>22598.400000000001</v>
      </c>
      <c r="J15" s="14">
        <v>505</v>
      </c>
      <c r="K15" s="13">
        <f t="shared" si="3"/>
        <v>24240</v>
      </c>
      <c r="L15" s="11">
        <f>G15-'22'!D15</f>
        <v>5</v>
      </c>
      <c r="M15" s="13">
        <f t="shared" si="4"/>
        <v>2525</v>
      </c>
    </row>
    <row r="16" spans="1:13">
      <c r="A16" s="7" t="s">
        <v>22</v>
      </c>
      <c r="B16" s="8" t="s">
        <v>21</v>
      </c>
      <c r="C16" s="9">
        <v>20</v>
      </c>
      <c r="D16" s="10">
        <v>26</v>
      </c>
      <c r="E16" s="11"/>
      <c r="F16" s="9">
        <f t="shared" si="0"/>
        <v>0</v>
      </c>
      <c r="G16" s="11">
        <f t="shared" si="1"/>
        <v>26</v>
      </c>
      <c r="H16" s="12">
        <v>470.8</v>
      </c>
      <c r="I16" s="13">
        <f t="shared" si="2"/>
        <v>12240.800000000001</v>
      </c>
      <c r="J16" s="14">
        <v>505</v>
      </c>
      <c r="K16" s="13">
        <f t="shared" si="3"/>
        <v>13130</v>
      </c>
      <c r="L16" s="11">
        <f>G16-'22'!D16</f>
        <v>5</v>
      </c>
      <c r="M16" s="13">
        <f t="shared" si="4"/>
        <v>2525</v>
      </c>
    </row>
    <row r="17" spans="1:13">
      <c r="A17" s="7" t="s">
        <v>22</v>
      </c>
      <c r="B17" s="8" t="s">
        <v>29</v>
      </c>
      <c r="C17" s="9">
        <v>11</v>
      </c>
      <c r="D17" s="10">
        <v>145</v>
      </c>
      <c r="E17" s="11"/>
      <c r="F17" s="9">
        <f t="shared" si="0"/>
        <v>0</v>
      </c>
      <c r="G17" s="11">
        <f t="shared" si="1"/>
        <v>145</v>
      </c>
      <c r="H17" s="12">
        <v>235.59</v>
      </c>
      <c r="I17" s="13">
        <f t="shared" si="2"/>
        <v>34160.550000000003</v>
      </c>
      <c r="J17" s="14">
        <v>250</v>
      </c>
      <c r="K17" s="13">
        <f t="shared" si="3"/>
        <v>36250</v>
      </c>
      <c r="L17" s="11">
        <f>G17-'22'!D17</f>
        <v>3</v>
      </c>
      <c r="M17" s="13">
        <f t="shared" si="4"/>
        <v>750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f>G18-'22'!D18</f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>
        <v>26</v>
      </c>
      <c r="E19" s="11"/>
      <c r="F19" s="9">
        <f t="shared" si="0"/>
        <v>0</v>
      </c>
      <c r="G19" s="11">
        <f t="shared" si="1"/>
        <v>26</v>
      </c>
      <c r="H19" s="12">
        <v>204</v>
      </c>
      <c r="I19" s="13">
        <f t="shared" si="2"/>
        <v>5304</v>
      </c>
      <c r="J19" s="14">
        <v>230</v>
      </c>
      <c r="K19" s="13">
        <f t="shared" si="3"/>
        <v>5980</v>
      </c>
      <c r="L19" s="11">
        <f>G19-'22'!D19</f>
        <v>9</v>
      </c>
      <c r="M19" s="13">
        <f t="shared" si="4"/>
        <v>2070</v>
      </c>
    </row>
    <row r="20" spans="1:13">
      <c r="A20" s="7" t="s">
        <v>22</v>
      </c>
      <c r="B20" s="8" t="s">
        <v>25</v>
      </c>
      <c r="C20" s="9">
        <v>10</v>
      </c>
      <c r="D20" s="10">
        <v>37</v>
      </c>
      <c r="E20" s="11"/>
      <c r="F20" s="9">
        <f t="shared" si="0"/>
        <v>0</v>
      </c>
      <c r="G20" s="11">
        <f t="shared" si="1"/>
        <v>37</v>
      </c>
      <c r="H20" s="12">
        <v>204</v>
      </c>
      <c r="I20" s="13">
        <f>H20*D20</f>
        <v>7548</v>
      </c>
      <c r="J20" s="14">
        <v>230</v>
      </c>
      <c r="K20" s="13">
        <f t="shared" si="3"/>
        <v>8510</v>
      </c>
      <c r="L20" s="11">
        <f>G20-'22'!D20</f>
        <v>6</v>
      </c>
      <c r="M20" s="13">
        <f t="shared" si="4"/>
        <v>1380</v>
      </c>
    </row>
    <row r="21" spans="1:13">
      <c r="A21" s="7" t="s">
        <v>22</v>
      </c>
      <c r="B21" s="8" t="s">
        <v>26</v>
      </c>
      <c r="C21" s="9">
        <v>10</v>
      </c>
      <c r="D21" s="10">
        <v>6</v>
      </c>
      <c r="E21" s="11"/>
      <c r="F21" s="9">
        <f t="shared" si="0"/>
        <v>0</v>
      </c>
      <c r="G21" s="11">
        <f t="shared" si="1"/>
        <v>6</v>
      </c>
      <c r="H21" s="12">
        <v>204</v>
      </c>
      <c r="I21" s="13">
        <f t="shared" si="2"/>
        <v>1224</v>
      </c>
      <c r="J21" s="14">
        <v>230</v>
      </c>
      <c r="K21" s="13">
        <f t="shared" si="3"/>
        <v>1380</v>
      </c>
      <c r="L21" s="11">
        <f>G21-'22'!D21</f>
        <v>3</v>
      </c>
      <c r="M21" s="13">
        <f t="shared" si="4"/>
        <v>690</v>
      </c>
    </row>
    <row r="22" spans="1:13">
      <c r="A22" s="7" t="s">
        <v>22</v>
      </c>
      <c r="B22" s="8" t="s">
        <v>13</v>
      </c>
      <c r="C22" s="9">
        <v>19</v>
      </c>
      <c r="D22" s="10">
        <v>39</v>
      </c>
      <c r="E22" s="11"/>
      <c r="F22" s="9">
        <f t="shared" si="0"/>
        <v>0</v>
      </c>
      <c r="G22" s="11">
        <f t="shared" si="1"/>
        <v>39</v>
      </c>
      <c r="H22" s="12">
        <v>474.46</v>
      </c>
      <c r="I22" s="13">
        <f t="shared" si="2"/>
        <v>18503.939999999999</v>
      </c>
      <c r="J22" s="14">
        <v>505</v>
      </c>
      <c r="K22" s="13">
        <f t="shared" si="3"/>
        <v>19695</v>
      </c>
      <c r="L22" s="11">
        <f>G22-'22'!D22</f>
        <v>12</v>
      </c>
      <c r="M22" s="13">
        <f t="shared" si="4"/>
        <v>6060</v>
      </c>
    </row>
    <row r="23" spans="1:13">
      <c r="A23" s="7" t="s">
        <v>22</v>
      </c>
      <c r="B23" s="8" t="s">
        <v>27</v>
      </c>
      <c r="C23" s="9">
        <v>24</v>
      </c>
      <c r="D23" s="10">
        <v>108</v>
      </c>
      <c r="E23" s="11"/>
      <c r="F23" s="9">
        <f t="shared" si="0"/>
        <v>0</v>
      </c>
      <c r="G23" s="11">
        <f t="shared" si="1"/>
        <v>108</v>
      </c>
      <c r="H23" s="12">
        <v>593.91999999999996</v>
      </c>
      <c r="I23" s="13">
        <f t="shared" si="2"/>
        <v>64143.359999999993</v>
      </c>
      <c r="J23" s="14">
        <v>630</v>
      </c>
      <c r="K23" s="13">
        <f t="shared" si="3"/>
        <v>68040</v>
      </c>
      <c r="L23" s="11">
        <f>G23-'22'!D23</f>
        <v>20</v>
      </c>
      <c r="M23" s="13">
        <f t="shared" si="4"/>
        <v>12600</v>
      </c>
    </row>
    <row r="24" spans="1:13">
      <c r="A24" s="7" t="s">
        <v>30</v>
      </c>
      <c r="B24" s="8" t="s">
        <v>17</v>
      </c>
      <c r="C24" s="9">
        <v>25</v>
      </c>
      <c r="D24" s="10">
        <v>75</v>
      </c>
      <c r="E24" s="10"/>
      <c r="F24" s="9">
        <f t="shared" si="0"/>
        <v>0</v>
      </c>
      <c r="G24" s="11">
        <f t="shared" si="1"/>
        <v>75</v>
      </c>
      <c r="H24" s="12">
        <v>453.3</v>
      </c>
      <c r="I24" s="13">
        <f t="shared" si="2"/>
        <v>33997.5</v>
      </c>
      <c r="J24" s="14">
        <v>493</v>
      </c>
      <c r="K24" s="13">
        <f t="shared" si="3"/>
        <v>36975</v>
      </c>
      <c r="L24" s="11">
        <f>G24-'22'!D24</f>
        <v>0</v>
      </c>
      <c r="M24" s="13">
        <f t="shared" si="4"/>
        <v>0</v>
      </c>
    </row>
    <row r="25" spans="1:13">
      <c r="A25" s="7" t="s">
        <v>30</v>
      </c>
      <c r="B25" s="8" t="s">
        <v>18</v>
      </c>
      <c r="C25" s="9">
        <v>25</v>
      </c>
      <c r="D25" s="10">
        <v>54</v>
      </c>
      <c r="E25" s="10"/>
      <c r="F25" s="9">
        <f t="shared" si="0"/>
        <v>0</v>
      </c>
      <c r="G25" s="11">
        <f t="shared" si="1"/>
        <v>54</v>
      </c>
      <c r="H25" s="12">
        <v>453.3</v>
      </c>
      <c r="I25" s="13">
        <f t="shared" si="2"/>
        <v>24478.2</v>
      </c>
      <c r="J25" s="14">
        <v>493</v>
      </c>
      <c r="K25" s="13">
        <f t="shared" si="3"/>
        <v>26622</v>
      </c>
      <c r="L25" s="11">
        <f>G25-'22'!D25</f>
        <v>0</v>
      </c>
      <c r="M25" s="13">
        <f t="shared" si="4"/>
        <v>0</v>
      </c>
    </row>
    <row r="26" spans="1:13">
      <c r="A26" s="7" t="s">
        <v>55</v>
      </c>
      <c r="B26" s="7" t="s">
        <v>17</v>
      </c>
      <c r="C26" s="9">
        <v>70</v>
      </c>
      <c r="D26" s="10"/>
      <c r="E26" s="10"/>
      <c r="F26" s="9">
        <f t="shared" si="0"/>
        <v>0</v>
      </c>
      <c r="G26" s="11">
        <f t="shared" si="1"/>
        <v>0</v>
      </c>
      <c r="H26" s="12">
        <v>959.04</v>
      </c>
      <c r="I26" s="13">
        <f t="shared" si="2"/>
        <v>0</v>
      </c>
      <c r="J26" s="14">
        <v>1010</v>
      </c>
      <c r="K26" s="13">
        <f t="shared" si="3"/>
        <v>0</v>
      </c>
      <c r="L26" s="11">
        <f>G26-'22'!D26</f>
        <v>0</v>
      </c>
      <c r="M26" s="13">
        <f t="shared" si="4"/>
        <v>0</v>
      </c>
    </row>
    <row r="27" spans="1:13">
      <c r="A27" s="7" t="s">
        <v>55</v>
      </c>
      <c r="B27" s="8" t="s">
        <v>18</v>
      </c>
      <c r="C27" s="9">
        <v>70</v>
      </c>
      <c r="D27" s="10"/>
      <c r="E27" s="10"/>
      <c r="F27" s="9">
        <f t="shared" si="0"/>
        <v>0</v>
      </c>
      <c r="G27" s="11">
        <f t="shared" si="1"/>
        <v>0</v>
      </c>
      <c r="H27" s="12">
        <v>959.04</v>
      </c>
      <c r="I27" s="13">
        <f t="shared" si="2"/>
        <v>0</v>
      </c>
      <c r="J27" s="14">
        <v>1010</v>
      </c>
      <c r="K27" s="13">
        <f t="shared" si="3"/>
        <v>0</v>
      </c>
      <c r="L27" s="11">
        <f>G27-'22'!D27</f>
        <v>0</v>
      </c>
      <c r="M27" s="13">
        <f t="shared" si="4"/>
        <v>0</v>
      </c>
    </row>
    <row r="28" spans="1:13">
      <c r="A28" s="7" t="s">
        <v>55</v>
      </c>
      <c r="B28" s="8" t="s">
        <v>21</v>
      </c>
      <c r="C28" s="9">
        <v>70</v>
      </c>
      <c r="D28" s="10"/>
      <c r="E28" s="10"/>
      <c r="F28" s="9">
        <f t="shared" si="0"/>
        <v>0</v>
      </c>
      <c r="G28" s="11">
        <f t="shared" si="1"/>
        <v>0</v>
      </c>
      <c r="H28" s="12">
        <v>959.04</v>
      </c>
      <c r="I28" s="13">
        <f t="shared" si="2"/>
        <v>0</v>
      </c>
      <c r="J28" s="14">
        <v>1010</v>
      </c>
      <c r="K28" s="13">
        <f t="shared" si="3"/>
        <v>0</v>
      </c>
      <c r="L28" s="11">
        <f>G28-'22'!D28</f>
        <v>0</v>
      </c>
      <c r="M28" s="13">
        <f t="shared" si="4"/>
        <v>0</v>
      </c>
    </row>
    <row r="29" spans="1:13">
      <c r="A29" s="7" t="s">
        <v>31</v>
      </c>
      <c r="B29" s="7" t="s">
        <v>17</v>
      </c>
      <c r="C29" s="9">
        <v>40</v>
      </c>
      <c r="D29" s="10"/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f>G29-'22'!D29</f>
        <v>0</v>
      </c>
      <c r="M29" s="13">
        <f t="shared" si="4"/>
        <v>0</v>
      </c>
    </row>
    <row r="30" spans="1:13">
      <c r="A30" s="7" t="s">
        <v>31</v>
      </c>
      <c r="B30" s="7" t="s">
        <v>18</v>
      </c>
      <c r="C30" s="9">
        <v>40</v>
      </c>
      <c r="D30" s="10"/>
      <c r="E30" s="10"/>
      <c r="F30" s="9">
        <f t="shared" si="0"/>
        <v>0</v>
      </c>
      <c r="G30" s="11">
        <f t="shared" si="1"/>
        <v>0</v>
      </c>
      <c r="H30" s="12">
        <v>821.36</v>
      </c>
      <c r="I30" s="13">
        <f t="shared" si="2"/>
        <v>0</v>
      </c>
      <c r="J30" s="14">
        <v>878</v>
      </c>
      <c r="K30" s="13">
        <f t="shared" si="3"/>
        <v>0</v>
      </c>
      <c r="L30" s="11">
        <f>G30-'22'!D30</f>
        <v>0</v>
      </c>
      <c r="M30" s="13">
        <f t="shared" si="4"/>
        <v>0</v>
      </c>
    </row>
    <row r="31" spans="1:13">
      <c r="A31" s="7" t="s">
        <v>31</v>
      </c>
      <c r="B31" s="7" t="s">
        <v>19</v>
      </c>
      <c r="C31" s="9">
        <v>40</v>
      </c>
      <c r="D31" s="10"/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f>G31-'22'!D31</f>
        <v>0</v>
      </c>
      <c r="M31" s="13">
        <f t="shared" si="4"/>
        <v>0</v>
      </c>
    </row>
    <row r="32" spans="1:13">
      <c r="A32" s="7" t="s">
        <v>31</v>
      </c>
      <c r="B32" s="7" t="s">
        <v>20</v>
      </c>
      <c r="C32" s="9">
        <v>40</v>
      </c>
      <c r="D32" s="10"/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f>G32-'22'!D32</f>
        <v>0</v>
      </c>
      <c r="M32" s="13">
        <f t="shared" si="4"/>
        <v>0</v>
      </c>
    </row>
    <row r="33" spans="1:13">
      <c r="A33" s="7" t="s">
        <v>31</v>
      </c>
      <c r="B33" s="7" t="s">
        <v>21</v>
      </c>
      <c r="C33" s="9">
        <v>40</v>
      </c>
      <c r="D33" s="10"/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f>G33-'22'!D33</f>
        <v>0</v>
      </c>
      <c r="M33" s="13">
        <f t="shared" si="4"/>
        <v>0</v>
      </c>
    </row>
    <row r="34" spans="1:13">
      <c r="A34" s="7" t="s">
        <v>31</v>
      </c>
      <c r="B34" s="7" t="s">
        <v>32</v>
      </c>
      <c r="C34" s="9">
        <v>40</v>
      </c>
      <c r="D34" s="10"/>
      <c r="E34" s="10"/>
      <c r="F34" s="9">
        <f t="shared" si="0"/>
        <v>0</v>
      </c>
      <c r="G34" s="11">
        <f t="shared" si="1"/>
        <v>0</v>
      </c>
      <c r="H34" s="12">
        <v>817.58</v>
      </c>
      <c r="I34" s="13">
        <f t="shared" si="2"/>
        <v>0</v>
      </c>
      <c r="J34" s="14">
        <v>878</v>
      </c>
      <c r="K34" s="13">
        <f t="shared" si="3"/>
        <v>0</v>
      </c>
      <c r="L34" s="11">
        <f>G34-'22'!D34</f>
        <v>0</v>
      </c>
      <c r="M34" s="13">
        <f t="shared" si="4"/>
        <v>0</v>
      </c>
    </row>
    <row r="35" spans="1:13">
      <c r="A35" s="7" t="s">
        <v>31</v>
      </c>
      <c r="B35" s="7" t="s">
        <v>33</v>
      </c>
      <c r="C35" s="9">
        <v>60</v>
      </c>
      <c r="D35" s="10">
        <v>209</v>
      </c>
      <c r="E35" s="10"/>
      <c r="F35" s="9">
        <f t="shared" si="0"/>
        <v>0</v>
      </c>
      <c r="G35" s="11">
        <f t="shared" si="1"/>
        <v>209</v>
      </c>
      <c r="H35" s="12">
        <v>1042.6500000000001</v>
      </c>
      <c r="I35" s="13">
        <f t="shared" si="2"/>
        <v>217913.85</v>
      </c>
      <c r="J35" s="14">
        <v>1110</v>
      </c>
      <c r="K35" s="13">
        <f t="shared" si="3"/>
        <v>231990</v>
      </c>
      <c r="L35" s="11">
        <f>G35-'22'!D35</f>
        <v>15</v>
      </c>
      <c r="M35" s="13">
        <f t="shared" si="4"/>
        <v>16650</v>
      </c>
    </row>
    <row r="36" spans="1:13">
      <c r="A36" s="7" t="s">
        <v>34</v>
      </c>
      <c r="B36" s="7" t="s">
        <v>35</v>
      </c>
      <c r="C36" s="9">
        <v>7</v>
      </c>
      <c r="D36" s="10">
        <v>25</v>
      </c>
      <c r="E36" s="10"/>
      <c r="F36" s="9">
        <f t="shared" si="0"/>
        <v>0</v>
      </c>
      <c r="G36" s="11">
        <f t="shared" si="1"/>
        <v>25</v>
      </c>
      <c r="H36" s="12">
        <v>126.24</v>
      </c>
      <c r="I36" s="13">
        <f t="shared" si="2"/>
        <v>3156</v>
      </c>
      <c r="J36" s="14">
        <v>140</v>
      </c>
      <c r="K36" s="13">
        <f t="shared" si="3"/>
        <v>3500</v>
      </c>
      <c r="L36" s="11">
        <f>G36-'22'!D36</f>
        <v>0</v>
      </c>
      <c r="M36" s="13">
        <f t="shared" si="4"/>
        <v>0</v>
      </c>
    </row>
    <row r="37" spans="1:13">
      <c r="A37" s="7" t="s">
        <v>36</v>
      </c>
      <c r="B37" s="7" t="s">
        <v>37</v>
      </c>
      <c r="C37" s="9">
        <v>125</v>
      </c>
      <c r="D37" s="10">
        <v>45</v>
      </c>
      <c r="E37" s="10"/>
      <c r="F37" s="9">
        <f t="shared" si="0"/>
        <v>0</v>
      </c>
      <c r="G37" s="11">
        <f t="shared" si="1"/>
        <v>45</v>
      </c>
      <c r="H37" s="12">
        <v>2050.54</v>
      </c>
      <c r="I37" s="13">
        <f t="shared" si="2"/>
        <v>92274.3</v>
      </c>
      <c r="J37" s="14">
        <v>2175</v>
      </c>
      <c r="K37" s="13">
        <f t="shared" si="3"/>
        <v>97875</v>
      </c>
      <c r="L37" s="11">
        <f>G37-'22'!D37</f>
        <v>2</v>
      </c>
      <c r="M37" s="13">
        <f t="shared" si="4"/>
        <v>4350</v>
      </c>
    </row>
    <row r="38" spans="1:13">
      <c r="A38" s="7" t="s">
        <v>38</v>
      </c>
      <c r="B38" s="7" t="s">
        <v>17</v>
      </c>
      <c r="C38" s="9">
        <v>20</v>
      </c>
      <c r="D38" s="10"/>
      <c r="E38" s="10"/>
      <c r="F38" s="9">
        <f t="shared" si="0"/>
        <v>0</v>
      </c>
      <c r="G38" s="11">
        <f t="shared" si="1"/>
        <v>0</v>
      </c>
      <c r="H38" s="12">
        <v>399.19</v>
      </c>
      <c r="I38" s="13">
        <f t="shared" si="2"/>
        <v>0</v>
      </c>
      <c r="J38" s="14">
        <v>420</v>
      </c>
      <c r="K38" s="13">
        <f t="shared" si="3"/>
        <v>0</v>
      </c>
      <c r="L38" s="11">
        <f>G38-'22'!D38</f>
        <v>0</v>
      </c>
      <c r="M38" s="13">
        <f t="shared" si="4"/>
        <v>0</v>
      </c>
    </row>
    <row r="39" spans="1:13">
      <c r="A39" s="7" t="s">
        <v>38</v>
      </c>
      <c r="B39" s="7" t="s">
        <v>18</v>
      </c>
      <c r="C39" s="9">
        <v>20</v>
      </c>
      <c r="D39" s="10"/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f>G39-'22'!D39</f>
        <v>0</v>
      </c>
      <c r="M39" s="13">
        <f t="shared" si="4"/>
        <v>0</v>
      </c>
    </row>
    <row r="40" spans="1:13">
      <c r="A40" s="7" t="s">
        <v>38</v>
      </c>
      <c r="B40" s="7" t="s">
        <v>21</v>
      </c>
      <c r="C40" s="9">
        <v>20</v>
      </c>
      <c r="D40" s="10"/>
      <c r="E40" s="10"/>
      <c r="F40" s="9">
        <f t="shared" si="0"/>
        <v>0</v>
      </c>
      <c r="G40" s="11">
        <f t="shared" si="1"/>
        <v>0</v>
      </c>
      <c r="H40" s="12">
        <v>399.19</v>
      </c>
      <c r="I40" s="13">
        <f t="shared" si="2"/>
        <v>0</v>
      </c>
      <c r="J40" s="14">
        <v>420</v>
      </c>
      <c r="K40" s="13">
        <f t="shared" si="3"/>
        <v>0</v>
      </c>
      <c r="L40" s="11">
        <f>G40-'22'!D40</f>
        <v>0</v>
      </c>
      <c r="M40" s="13">
        <f t="shared" si="4"/>
        <v>0</v>
      </c>
    </row>
    <row r="41" spans="1:13">
      <c r="A41" s="7" t="s">
        <v>39</v>
      </c>
      <c r="B41" s="7" t="s">
        <v>35</v>
      </c>
      <c r="C41" s="9">
        <v>9</v>
      </c>
      <c r="D41" s="10">
        <v>18</v>
      </c>
      <c r="E41" s="10"/>
      <c r="F41" s="9">
        <f t="shared" si="0"/>
        <v>0</v>
      </c>
      <c r="G41" s="11">
        <f t="shared" si="1"/>
        <v>18</v>
      </c>
      <c r="H41" s="12">
        <v>174.19</v>
      </c>
      <c r="I41" s="13">
        <f t="shared" si="2"/>
        <v>3135.42</v>
      </c>
      <c r="J41" s="14">
        <v>185</v>
      </c>
      <c r="K41" s="13">
        <f t="shared" si="3"/>
        <v>3330</v>
      </c>
      <c r="L41" s="11">
        <f>G41-'22'!D41</f>
        <v>0</v>
      </c>
      <c r="M41" s="13">
        <f t="shared" si="4"/>
        <v>0</v>
      </c>
    </row>
    <row r="42" spans="1:13">
      <c r="A42" s="7" t="s">
        <v>40</v>
      </c>
      <c r="B42" s="7" t="s">
        <v>13</v>
      </c>
      <c r="C42" s="9">
        <v>35</v>
      </c>
      <c r="D42" s="10">
        <v>37</v>
      </c>
      <c r="E42" s="10"/>
      <c r="F42" s="9">
        <f t="shared" si="0"/>
        <v>0</v>
      </c>
      <c r="G42" s="11">
        <f t="shared" si="1"/>
        <v>37</v>
      </c>
      <c r="H42" s="12">
        <v>748.13</v>
      </c>
      <c r="I42" s="13">
        <f t="shared" si="2"/>
        <v>27680.81</v>
      </c>
      <c r="J42" s="14">
        <v>795</v>
      </c>
      <c r="K42" s="13">
        <f t="shared" si="3"/>
        <v>29415</v>
      </c>
      <c r="L42" s="11">
        <f>G42-'22'!D42</f>
        <v>4</v>
      </c>
      <c r="M42" s="13">
        <f t="shared" si="4"/>
        <v>3180</v>
      </c>
    </row>
    <row r="43" spans="1:13">
      <c r="A43" s="7" t="s">
        <v>41</v>
      </c>
      <c r="B43" s="7" t="s">
        <v>17</v>
      </c>
      <c r="C43" s="9">
        <v>40</v>
      </c>
      <c r="D43" s="10">
        <v>26</v>
      </c>
      <c r="E43" s="10"/>
      <c r="F43" s="9">
        <f t="shared" si="0"/>
        <v>0</v>
      </c>
      <c r="G43" s="11">
        <f t="shared" si="1"/>
        <v>26</v>
      </c>
      <c r="H43" s="12">
        <v>842.86</v>
      </c>
      <c r="I43" s="13">
        <f t="shared" si="2"/>
        <v>21914.36</v>
      </c>
      <c r="J43" s="14">
        <v>900</v>
      </c>
      <c r="K43" s="13">
        <f t="shared" si="3"/>
        <v>23400</v>
      </c>
      <c r="L43" s="11">
        <f>G43-'22'!D43</f>
        <v>6</v>
      </c>
      <c r="M43" s="13">
        <f t="shared" si="4"/>
        <v>5400</v>
      </c>
    </row>
    <row r="44" spans="1:13">
      <c r="A44" s="7" t="s">
        <v>41</v>
      </c>
      <c r="B44" s="7" t="s">
        <v>18</v>
      </c>
      <c r="C44" s="9">
        <v>40</v>
      </c>
      <c r="D44" s="10">
        <v>24</v>
      </c>
      <c r="E44" s="10"/>
      <c r="F44" s="9">
        <f t="shared" si="0"/>
        <v>0</v>
      </c>
      <c r="G44" s="11">
        <f t="shared" si="1"/>
        <v>24</v>
      </c>
      <c r="H44" s="12">
        <v>842.86</v>
      </c>
      <c r="I44" s="13">
        <f t="shared" si="2"/>
        <v>20228.64</v>
      </c>
      <c r="J44" s="14">
        <v>900</v>
      </c>
      <c r="K44" s="13">
        <f t="shared" si="3"/>
        <v>21600</v>
      </c>
      <c r="L44" s="11">
        <f>G44-'22'!D44</f>
        <v>3</v>
      </c>
      <c r="M44" s="13">
        <f t="shared" si="4"/>
        <v>2700</v>
      </c>
    </row>
    <row r="45" spans="1:13">
      <c r="A45" s="7" t="s">
        <v>41</v>
      </c>
      <c r="B45" s="7" t="s">
        <v>19</v>
      </c>
      <c r="C45" s="9">
        <v>40</v>
      </c>
      <c r="D45" s="10"/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f>G45-'22'!D45</f>
        <v>0</v>
      </c>
      <c r="M45" s="13">
        <f t="shared" si="4"/>
        <v>0</v>
      </c>
    </row>
    <row r="46" spans="1:13">
      <c r="A46" s="7" t="s">
        <v>41</v>
      </c>
      <c r="B46" s="7" t="s">
        <v>20</v>
      </c>
      <c r="C46" s="9">
        <v>40</v>
      </c>
      <c r="D46" s="10"/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f>G46-'22'!D46</f>
        <v>0</v>
      </c>
      <c r="M46" s="13">
        <f t="shared" si="4"/>
        <v>0</v>
      </c>
    </row>
    <row r="47" spans="1:13">
      <c r="A47" s="7" t="s">
        <v>41</v>
      </c>
      <c r="B47" s="7" t="s">
        <v>21</v>
      </c>
      <c r="C47" s="9">
        <v>40</v>
      </c>
      <c r="D47" s="10"/>
      <c r="E47" s="10"/>
      <c r="F47" s="9">
        <f t="shared" si="0"/>
        <v>0</v>
      </c>
      <c r="G47" s="11">
        <f t="shared" si="1"/>
        <v>0</v>
      </c>
      <c r="H47" s="12">
        <v>839.68</v>
      </c>
      <c r="I47" s="13">
        <f t="shared" si="2"/>
        <v>0</v>
      </c>
      <c r="J47" s="14">
        <v>900</v>
      </c>
      <c r="K47" s="13">
        <f t="shared" si="3"/>
        <v>0</v>
      </c>
      <c r="L47" s="11">
        <f>G47-'22'!D47</f>
        <v>0</v>
      </c>
      <c r="M47" s="13">
        <f t="shared" si="4"/>
        <v>0</v>
      </c>
    </row>
    <row r="48" spans="1:13">
      <c r="A48" s="7" t="s">
        <v>42</v>
      </c>
      <c r="B48" s="7" t="s">
        <v>29</v>
      </c>
      <c r="C48" s="9">
        <v>18</v>
      </c>
      <c r="D48" s="10">
        <v>42</v>
      </c>
      <c r="E48" s="10"/>
      <c r="F48" s="9">
        <f t="shared" si="0"/>
        <v>0</v>
      </c>
      <c r="G48" s="11">
        <f t="shared" si="1"/>
        <v>42</v>
      </c>
      <c r="H48" s="12">
        <v>375.68</v>
      </c>
      <c r="I48" s="13">
        <f t="shared" si="2"/>
        <v>15778.56</v>
      </c>
      <c r="J48" s="14">
        <v>400</v>
      </c>
      <c r="K48" s="13">
        <f t="shared" si="3"/>
        <v>16800</v>
      </c>
      <c r="L48" s="11">
        <f>G48-'22'!D48</f>
        <v>3</v>
      </c>
      <c r="M48" s="13">
        <f t="shared" si="4"/>
        <v>1200</v>
      </c>
    </row>
    <row r="49" spans="1:13">
      <c r="A49" s="7" t="s">
        <v>54</v>
      </c>
      <c r="B49" s="7" t="s">
        <v>44</v>
      </c>
      <c r="C49" s="9">
        <v>50</v>
      </c>
      <c r="D49" s="10"/>
      <c r="E49" s="11"/>
      <c r="F49" s="9">
        <f t="shared" si="0"/>
        <v>0</v>
      </c>
      <c r="G49" s="11">
        <f t="shared" si="1"/>
        <v>0</v>
      </c>
      <c r="H49" s="12">
        <v>670.32</v>
      </c>
      <c r="I49" s="13">
        <f t="shared" si="2"/>
        <v>0</v>
      </c>
      <c r="J49" s="14">
        <v>710</v>
      </c>
      <c r="K49" s="13">
        <f t="shared" si="3"/>
        <v>0</v>
      </c>
      <c r="L49" s="11">
        <f>G49-'22'!D49</f>
        <v>0</v>
      </c>
      <c r="M49" s="13">
        <f t="shared" si="4"/>
        <v>0</v>
      </c>
    </row>
    <row r="50" spans="1:13">
      <c r="A50" s="7" t="s">
        <v>43</v>
      </c>
      <c r="B50" s="7" t="s">
        <v>17</v>
      </c>
      <c r="C50" s="9">
        <v>50</v>
      </c>
      <c r="D50" s="10">
        <v>115</v>
      </c>
      <c r="E50" s="10"/>
      <c r="F50" s="9">
        <f t="shared" si="0"/>
        <v>0</v>
      </c>
      <c r="G50" s="11">
        <f t="shared" si="1"/>
        <v>115</v>
      </c>
      <c r="H50" s="12">
        <v>661.22</v>
      </c>
      <c r="I50" s="13">
        <f t="shared" si="2"/>
        <v>76040.3</v>
      </c>
      <c r="J50" s="14">
        <v>710</v>
      </c>
      <c r="K50" s="13">
        <f t="shared" si="3"/>
        <v>81650</v>
      </c>
      <c r="L50" s="11">
        <f>G50-'22'!D50</f>
        <v>13</v>
      </c>
      <c r="M50" s="13">
        <f t="shared" si="4"/>
        <v>9230</v>
      </c>
    </row>
    <row r="51" spans="1:13">
      <c r="A51" s="7" t="s">
        <v>43</v>
      </c>
      <c r="B51" s="7" t="s">
        <v>18</v>
      </c>
      <c r="C51" s="9">
        <v>50</v>
      </c>
      <c r="D51" s="10">
        <v>57</v>
      </c>
      <c r="E51" s="10"/>
      <c r="F51" s="9">
        <f t="shared" si="0"/>
        <v>0</v>
      </c>
      <c r="G51" s="11">
        <f t="shared" si="1"/>
        <v>57</v>
      </c>
      <c r="H51" s="12">
        <v>661.22</v>
      </c>
      <c r="I51" s="13">
        <f t="shared" si="2"/>
        <v>37689.54</v>
      </c>
      <c r="J51" s="14">
        <v>710</v>
      </c>
      <c r="K51" s="13">
        <f t="shared" si="3"/>
        <v>40470</v>
      </c>
      <c r="L51" s="11">
        <f>G51-'22'!D51</f>
        <v>9</v>
      </c>
      <c r="M51" s="13">
        <f t="shared" si="4"/>
        <v>6390</v>
      </c>
    </row>
    <row r="52" spans="1:13">
      <c r="A52" s="7" t="s">
        <v>43</v>
      </c>
      <c r="B52" s="7" t="s">
        <v>19</v>
      </c>
      <c r="C52" s="9">
        <v>50</v>
      </c>
      <c r="D52" s="10"/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f>G52-'22'!D52</f>
        <v>0</v>
      </c>
      <c r="M52" s="13">
        <f t="shared" si="4"/>
        <v>0</v>
      </c>
    </row>
    <row r="53" spans="1:13">
      <c r="A53" s="7" t="s">
        <v>43</v>
      </c>
      <c r="B53" s="7" t="s">
        <v>20</v>
      </c>
      <c r="C53" s="9">
        <v>50</v>
      </c>
      <c r="D53" s="10"/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f>G53-'22'!D53</f>
        <v>0</v>
      </c>
      <c r="M53" s="13">
        <f t="shared" si="4"/>
        <v>0</v>
      </c>
    </row>
    <row r="54" spans="1:13">
      <c r="A54" s="7" t="s">
        <v>43</v>
      </c>
      <c r="B54" s="7" t="s">
        <v>21</v>
      </c>
      <c r="C54" s="9">
        <v>50</v>
      </c>
      <c r="D54" s="10"/>
      <c r="E54" s="10"/>
      <c r="F54" s="9">
        <f t="shared" si="0"/>
        <v>0</v>
      </c>
      <c r="G54" s="11">
        <f t="shared" si="1"/>
        <v>0</v>
      </c>
      <c r="H54" s="12">
        <v>661.22</v>
      </c>
      <c r="I54" s="13">
        <f t="shared" si="2"/>
        <v>0</v>
      </c>
      <c r="J54" s="14">
        <v>710</v>
      </c>
      <c r="K54" s="13">
        <f t="shared" si="3"/>
        <v>0</v>
      </c>
      <c r="L54" s="11">
        <f>G54-'22'!D54</f>
        <v>0</v>
      </c>
      <c r="M54" s="13">
        <f t="shared" si="4"/>
        <v>0</v>
      </c>
    </row>
    <row r="55" spans="1:13">
      <c r="A55" s="7" t="s">
        <v>43</v>
      </c>
      <c r="B55" s="7" t="s">
        <v>44</v>
      </c>
      <c r="C55" s="9">
        <v>85</v>
      </c>
      <c r="D55" s="10">
        <v>15</v>
      </c>
      <c r="E55" s="10"/>
      <c r="F55" s="9">
        <f t="shared" si="0"/>
        <v>0</v>
      </c>
      <c r="G55" s="11">
        <f t="shared" si="1"/>
        <v>15</v>
      </c>
      <c r="H55" s="12">
        <v>797.07</v>
      </c>
      <c r="I55" s="13">
        <f t="shared" si="2"/>
        <v>11956.050000000001</v>
      </c>
      <c r="J55" s="14">
        <v>845</v>
      </c>
      <c r="K55" s="13">
        <f t="shared" si="3"/>
        <v>12675</v>
      </c>
      <c r="L55" s="11">
        <f>G55-'22'!D55</f>
        <v>1</v>
      </c>
      <c r="M55" s="13">
        <f t="shared" si="4"/>
        <v>845</v>
      </c>
    </row>
    <row r="56" spans="1:13">
      <c r="A56" s="7" t="s">
        <v>45</v>
      </c>
      <c r="B56" s="7" t="s">
        <v>35</v>
      </c>
      <c r="C56" s="9">
        <v>18</v>
      </c>
      <c r="D56" s="10">
        <v>649</v>
      </c>
      <c r="E56" s="10"/>
      <c r="F56" s="9">
        <f t="shared" si="0"/>
        <v>0</v>
      </c>
      <c r="G56" s="11">
        <f t="shared" si="1"/>
        <v>649</v>
      </c>
      <c r="H56" s="12">
        <v>160.77000000000001</v>
      </c>
      <c r="I56" s="13">
        <f t="shared" si="2"/>
        <v>104339.73000000001</v>
      </c>
      <c r="J56" s="14">
        <v>175</v>
      </c>
      <c r="K56" s="13">
        <f t="shared" si="3"/>
        <v>113575</v>
      </c>
      <c r="L56" s="11">
        <f>G56-'22'!D56</f>
        <v>44</v>
      </c>
      <c r="M56" s="13">
        <f t="shared" si="4"/>
        <v>7700</v>
      </c>
    </row>
    <row r="57" spans="1:13">
      <c r="A57" s="7" t="s">
        <v>46</v>
      </c>
      <c r="B57" s="7" t="s">
        <v>13</v>
      </c>
      <c r="C57" s="9">
        <v>70</v>
      </c>
      <c r="D57" s="10">
        <v>17</v>
      </c>
      <c r="E57" s="10"/>
      <c r="F57" s="9">
        <f t="shared" si="0"/>
        <v>0</v>
      </c>
      <c r="G57" s="11">
        <f t="shared" si="1"/>
        <v>17</v>
      </c>
      <c r="H57" s="12">
        <v>744.99</v>
      </c>
      <c r="I57" s="13">
        <f t="shared" si="2"/>
        <v>12664.83</v>
      </c>
      <c r="J57" s="14">
        <v>790</v>
      </c>
      <c r="K57" s="13">
        <f t="shared" si="3"/>
        <v>13430</v>
      </c>
      <c r="L57" s="11">
        <f>G57-'22'!D57</f>
        <v>2</v>
      </c>
      <c r="M57" s="13">
        <f t="shared" si="4"/>
        <v>1580</v>
      </c>
    </row>
    <row r="58" spans="1:13">
      <c r="A58" s="7" t="s">
        <v>47</v>
      </c>
      <c r="B58" s="7" t="s">
        <v>29</v>
      </c>
      <c r="C58" s="9">
        <v>30</v>
      </c>
      <c r="D58" s="10"/>
      <c r="E58" s="10"/>
      <c r="F58" s="9">
        <f t="shared" si="0"/>
        <v>0</v>
      </c>
      <c r="G58" s="11">
        <f t="shared" si="1"/>
        <v>0</v>
      </c>
      <c r="H58" s="12">
        <v>316.14999999999998</v>
      </c>
      <c r="I58" s="13">
        <f t="shared" si="2"/>
        <v>0</v>
      </c>
      <c r="J58" s="14">
        <v>336</v>
      </c>
      <c r="K58" s="13">
        <f t="shared" si="3"/>
        <v>0</v>
      </c>
      <c r="L58" s="11">
        <f>G58-'22'!D58</f>
        <v>0</v>
      </c>
      <c r="M58" s="13">
        <f t="shared" si="4"/>
        <v>0</v>
      </c>
    </row>
    <row r="59" spans="1:13">
      <c r="A59" s="7" t="s">
        <v>48</v>
      </c>
      <c r="B59" s="7" t="s">
        <v>13</v>
      </c>
      <c r="C59" s="9">
        <v>95</v>
      </c>
      <c r="D59" s="10">
        <v>22</v>
      </c>
      <c r="E59" s="10"/>
      <c r="F59" s="9">
        <f t="shared" si="0"/>
        <v>0</v>
      </c>
      <c r="G59" s="11">
        <f t="shared" si="1"/>
        <v>22</v>
      </c>
      <c r="H59" s="12">
        <v>1042.9000000000001</v>
      </c>
      <c r="I59" s="13">
        <f t="shared" si="2"/>
        <v>22943.800000000003</v>
      </c>
      <c r="J59" s="14">
        <v>1105</v>
      </c>
      <c r="K59" s="13">
        <f t="shared" si="3"/>
        <v>24310</v>
      </c>
      <c r="L59" s="11">
        <f>G59-'22'!D59</f>
        <v>2</v>
      </c>
      <c r="M59" s="13">
        <f t="shared" si="4"/>
        <v>2210</v>
      </c>
    </row>
    <row r="60" spans="1:13">
      <c r="A60" s="7" t="s">
        <v>49</v>
      </c>
      <c r="B60" s="7" t="s">
        <v>35</v>
      </c>
      <c r="C60" s="9">
        <v>28</v>
      </c>
      <c r="D60" s="10">
        <v>12</v>
      </c>
      <c r="E60" s="10"/>
      <c r="F60" s="9">
        <f t="shared" si="0"/>
        <v>0</v>
      </c>
      <c r="G60" s="11">
        <f t="shared" si="1"/>
        <v>12</v>
      </c>
      <c r="H60" s="12">
        <v>165.06</v>
      </c>
      <c r="I60" s="13">
        <f t="shared" si="2"/>
        <v>1980.72</v>
      </c>
      <c r="J60" s="14">
        <v>180</v>
      </c>
      <c r="K60" s="13">
        <f t="shared" si="3"/>
        <v>2160</v>
      </c>
      <c r="L60" s="11">
        <f>G60-'22'!D60</f>
        <v>2</v>
      </c>
      <c r="M60" s="13">
        <f t="shared" si="4"/>
        <v>360</v>
      </c>
    </row>
    <row r="61" spans="1:13">
      <c r="A61" s="7" t="s">
        <v>50</v>
      </c>
      <c r="B61" s="7" t="s">
        <v>17</v>
      </c>
      <c r="C61" s="9">
        <v>70</v>
      </c>
      <c r="D61" s="10"/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f>G61-'22'!D61</f>
        <v>0</v>
      </c>
      <c r="M61" s="13">
        <f t="shared" si="4"/>
        <v>0</v>
      </c>
    </row>
    <row r="62" spans="1:13">
      <c r="A62" s="7" t="s">
        <v>50</v>
      </c>
      <c r="B62" s="7" t="s">
        <v>18</v>
      </c>
      <c r="C62" s="9">
        <v>70</v>
      </c>
      <c r="D62" s="10"/>
      <c r="E62" s="10"/>
      <c r="F62" s="9">
        <f t="shared" si="0"/>
        <v>0</v>
      </c>
      <c r="G62" s="11">
        <f t="shared" si="1"/>
        <v>0</v>
      </c>
      <c r="H62" s="12">
        <v>721.25</v>
      </c>
      <c r="I62" s="13">
        <f t="shared" si="2"/>
        <v>0</v>
      </c>
      <c r="J62" s="14">
        <v>771</v>
      </c>
      <c r="K62" s="13">
        <f t="shared" si="3"/>
        <v>0</v>
      </c>
      <c r="L62" s="11">
        <f>G62-'22'!D62</f>
        <v>0</v>
      </c>
      <c r="M62" s="13">
        <f t="shared" si="4"/>
        <v>0</v>
      </c>
    </row>
    <row r="63" spans="1:13">
      <c r="A63" s="7" t="s">
        <v>51</v>
      </c>
      <c r="B63" s="7" t="s">
        <v>17</v>
      </c>
      <c r="C63" s="9">
        <v>100</v>
      </c>
      <c r="D63" s="10">
        <v>205</v>
      </c>
      <c r="E63" s="10"/>
      <c r="F63" s="9">
        <f t="shared" si="0"/>
        <v>0</v>
      </c>
      <c r="G63" s="11">
        <f t="shared" si="1"/>
        <v>205</v>
      </c>
      <c r="H63" s="12">
        <v>790.89</v>
      </c>
      <c r="I63" s="13">
        <f t="shared" si="2"/>
        <v>162132.45000000001</v>
      </c>
      <c r="J63" s="14">
        <v>845</v>
      </c>
      <c r="K63" s="13">
        <f t="shared" si="3"/>
        <v>173225</v>
      </c>
      <c r="L63" s="11">
        <f>G63-'22'!D63</f>
        <v>40</v>
      </c>
      <c r="M63" s="13">
        <f t="shared" si="4"/>
        <v>33800</v>
      </c>
    </row>
    <row r="64" spans="1:13">
      <c r="A64" s="7" t="s">
        <v>51</v>
      </c>
      <c r="B64" s="7" t="s">
        <v>18</v>
      </c>
      <c r="C64" s="9">
        <v>100</v>
      </c>
      <c r="D64" s="10">
        <v>80</v>
      </c>
      <c r="E64" s="10"/>
      <c r="F64" s="9">
        <f t="shared" si="0"/>
        <v>0</v>
      </c>
      <c r="G64" s="11">
        <f t="shared" si="1"/>
        <v>80</v>
      </c>
      <c r="H64" s="12">
        <v>790.89</v>
      </c>
      <c r="I64" s="13">
        <f t="shared" si="2"/>
        <v>63271.199999999997</v>
      </c>
      <c r="J64" s="14">
        <v>845</v>
      </c>
      <c r="K64" s="13">
        <f t="shared" si="3"/>
        <v>67600</v>
      </c>
      <c r="L64" s="11">
        <f>G64-'22'!D64</f>
        <v>19</v>
      </c>
      <c r="M64" s="13">
        <f t="shared" si="4"/>
        <v>16055</v>
      </c>
    </row>
    <row r="65" spans="1:13">
      <c r="A65" s="7" t="s">
        <v>51</v>
      </c>
      <c r="B65" s="7" t="s">
        <v>19</v>
      </c>
      <c r="C65" s="9">
        <v>100</v>
      </c>
      <c r="D65" s="10"/>
      <c r="E65" s="10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f>G65-'22'!D65</f>
        <v>0</v>
      </c>
      <c r="M65" s="13">
        <f t="shared" si="4"/>
        <v>0</v>
      </c>
    </row>
    <row r="66" spans="1:13">
      <c r="A66" s="7" t="s">
        <v>51</v>
      </c>
      <c r="B66" s="7" t="s">
        <v>20</v>
      </c>
      <c r="C66" s="9">
        <v>100</v>
      </c>
      <c r="D66" s="10"/>
      <c r="E66" s="11"/>
      <c r="F66" s="9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f>G66-'22'!D66</f>
        <v>0</v>
      </c>
      <c r="M66" s="13">
        <f t="shared" si="4"/>
        <v>0</v>
      </c>
    </row>
    <row r="67" spans="1:13">
      <c r="A67" s="7" t="s">
        <v>51</v>
      </c>
      <c r="B67" s="7" t="s">
        <v>21</v>
      </c>
      <c r="C67" s="9">
        <v>100</v>
      </c>
      <c r="D67" s="10"/>
      <c r="E67" s="11"/>
      <c r="F67" s="15">
        <f t="shared" si="0"/>
        <v>0</v>
      </c>
      <c r="G67" s="11">
        <f t="shared" si="1"/>
        <v>0</v>
      </c>
      <c r="H67" s="12">
        <v>790.89</v>
      </c>
      <c r="I67" s="13">
        <f t="shared" si="2"/>
        <v>0</v>
      </c>
      <c r="J67" s="14">
        <v>845</v>
      </c>
      <c r="K67" s="13">
        <f t="shared" si="3"/>
        <v>0</v>
      </c>
      <c r="L67" s="11">
        <f>G67-'22'!D67</f>
        <v>0</v>
      </c>
      <c r="M67" s="13">
        <f t="shared" si="4"/>
        <v>0</v>
      </c>
    </row>
    <row r="68" spans="1:13">
      <c r="A68" s="35" t="s">
        <v>52</v>
      </c>
      <c r="B68" s="36"/>
      <c r="C68" s="37"/>
      <c r="D68" s="16">
        <f>SUM(D2:D67)</f>
        <v>3673</v>
      </c>
      <c r="E68" s="17">
        <f>SUM(E2:E67)</f>
        <v>0</v>
      </c>
      <c r="F68" s="18">
        <f>SUM(F2:F67)</f>
        <v>0</v>
      </c>
      <c r="G68" s="17">
        <f>SUM(G2:G67)</f>
        <v>3673</v>
      </c>
      <c r="H68" s="19"/>
      <c r="I68" s="20">
        <f>SUM(I2:I67)</f>
        <v>1625703.5900000003</v>
      </c>
      <c r="J68" s="21">
        <f>SUM(J2:J67)</f>
        <v>41132</v>
      </c>
      <c r="K68" s="22">
        <f>SUM(K2:K67)</f>
        <v>1738604</v>
      </c>
      <c r="L68" s="23">
        <f>SUM(L2:L67)</f>
        <v>457</v>
      </c>
      <c r="M68" s="24">
        <f>SUM(M2:M67)</f>
        <v>231656</v>
      </c>
    </row>
    <row r="71" spans="1:13">
      <c r="F71" s="31"/>
    </row>
    <row r="74" spans="1:13">
      <c r="I74" s="33"/>
      <c r="J74" s="32"/>
      <c r="K74" s="33"/>
    </row>
    <row r="75" spans="1:13">
      <c r="I75" s="33"/>
      <c r="J75" s="32"/>
      <c r="K75" s="33"/>
    </row>
    <row r="76" spans="1:13">
      <c r="I76" s="33"/>
      <c r="J76" s="29"/>
      <c r="K76" s="30"/>
    </row>
    <row r="77" spans="1:13">
      <c r="D77" s="25" t="s">
        <v>53</v>
      </c>
      <c r="I77" s="33"/>
      <c r="J77" s="34"/>
      <c r="K77" s="34"/>
    </row>
    <row r="78" spans="1:13"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  <c r="I80" s="33"/>
      <c r="J80" s="32"/>
      <c r="K80" s="33"/>
    </row>
    <row r="81" spans="6:6">
      <c r="F81" s="26"/>
    </row>
  </sheetData>
  <mergeCells count="1">
    <mergeCell ref="A68:C6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81"/>
  <sheetViews>
    <sheetView tabSelected="1" topLeftCell="A52" workbookViewId="0">
      <selection activeCell="D65" sqref="D65"/>
    </sheetView>
  </sheetViews>
  <sheetFormatPr defaultRowHeight="15"/>
  <cols>
    <col min="1" max="1" width="11.7109375" bestFit="1" customWidth="1"/>
    <col min="2" max="2" width="17" bestFit="1" customWidth="1"/>
    <col min="4" max="5" width="9.140625" style="25"/>
    <col min="6" max="6" width="11.7109375" style="25" bestFit="1" customWidth="1"/>
    <col min="7" max="7" width="9.140625" style="25"/>
    <col min="9" max="9" width="12.28515625" bestFit="1" customWidth="1"/>
    <col min="10" max="10" width="10.85546875" style="27" customWidth="1"/>
    <col min="11" max="11" width="11.7109375" bestFit="1" customWidth="1"/>
    <col min="13" max="13" width="11.42578125" bestFit="1" customWidth="1"/>
  </cols>
  <sheetData>
    <row r="1" spans="1:13" ht="3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1" t="s">
        <v>8</v>
      </c>
      <c r="L1" s="5" t="s">
        <v>10</v>
      </c>
      <c r="M1" s="6" t="s">
        <v>11</v>
      </c>
    </row>
    <row r="2" spans="1:13">
      <c r="A2" s="7" t="s">
        <v>12</v>
      </c>
      <c r="B2" s="8" t="s">
        <v>13</v>
      </c>
      <c r="C2" s="9">
        <v>9</v>
      </c>
      <c r="D2" s="10">
        <v>240</v>
      </c>
      <c r="E2" s="11"/>
      <c r="F2" s="9">
        <f>E2*H2</f>
        <v>0</v>
      </c>
      <c r="G2" s="11">
        <f>D2+E2</f>
        <v>240</v>
      </c>
      <c r="H2" s="12">
        <v>308.13</v>
      </c>
      <c r="I2" s="13">
        <f>H2*D2</f>
        <v>73951.199999999997</v>
      </c>
      <c r="J2" s="14">
        <v>326</v>
      </c>
      <c r="K2" s="13">
        <f>J2*D2</f>
        <v>78240</v>
      </c>
      <c r="L2" s="11">
        <v>0</v>
      </c>
      <c r="M2" s="13">
        <f>L2*J2</f>
        <v>0</v>
      </c>
    </row>
    <row r="3" spans="1:13">
      <c r="A3" s="7" t="s">
        <v>12</v>
      </c>
      <c r="B3" s="8" t="s">
        <v>14</v>
      </c>
      <c r="C3" s="9">
        <v>9</v>
      </c>
      <c r="D3" s="10">
        <v>69</v>
      </c>
      <c r="E3" s="11"/>
      <c r="F3" s="9">
        <f t="shared" ref="F3:F67" si="0">E3*H3</f>
        <v>0</v>
      </c>
      <c r="G3" s="11">
        <f t="shared" ref="G3:G67" si="1">D3+E3</f>
        <v>69</v>
      </c>
      <c r="H3" s="12">
        <v>308.19</v>
      </c>
      <c r="I3" s="13">
        <f t="shared" ref="I3:I67" si="2">H3*D3</f>
        <v>21265.11</v>
      </c>
      <c r="J3" s="14">
        <v>326</v>
      </c>
      <c r="K3" s="13">
        <f t="shared" ref="K3:K67" si="3">J3*D3</f>
        <v>22494</v>
      </c>
      <c r="L3" s="11">
        <v>0</v>
      </c>
      <c r="M3" s="13">
        <f t="shared" ref="M3:M67" si="4">L3*J3</f>
        <v>0</v>
      </c>
    </row>
    <row r="4" spans="1:13">
      <c r="A4" s="7" t="s">
        <v>12</v>
      </c>
      <c r="B4" s="8" t="s">
        <v>15</v>
      </c>
      <c r="C4" s="9">
        <v>9</v>
      </c>
      <c r="D4" s="10"/>
      <c r="E4" s="11"/>
      <c r="F4" s="9">
        <f t="shared" si="0"/>
        <v>0</v>
      </c>
      <c r="G4" s="11">
        <f t="shared" si="1"/>
        <v>0</v>
      </c>
      <c r="H4" s="12">
        <v>308.19</v>
      </c>
      <c r="I4" s="13">
        <f t="shared" si="2"/>
        <v>0</v>
      </c>
      <c r="J4" s="14">
        <v>326</v>
      </c>
      <c r="K4" s="13">
        <f t="shared" si="3"/>
        <v>0</v>
      </c>
      <c r="L4" s="11">
        <v>0</v>
      </c>
      <c r="M4" s="13">
        <f t="shared" si="4"/>
        <v>0</v>
      </c>
    </row>
    <row r="5" spans="1:13">
      <c r="A5" s="7" t="s">
        <v>16</v>
      </c>
      <c r="B5" s="8" t="s">
        <v>17</v>
      </c>
      <c r="C5" s="9">
        <v>10</v>
      </c>
      <c r="D5" s="10">
        <v>145</v>
      </c>
      <c r="E5" s="11"/>
      <c r="F5" s="9">
        <f t="shared" si="0"/>
        <v>0</v>
      </c>
      <c r="G5" s="11">
        <f t="shared" si="1"/>
        <v>145</v>
      </c>
      <c r="H5" s="12">
        <v>174.77</v>
      </c>
      <c r="I5" s="13">
        <f t="shared" si="2"/>
        <v>25341.65</v>
      </c>
      <c r="J5" s="14">
        <v>192</v>
      </c>
      <c r="K5" s="13">
        <f t="shared" si="3"/>
        <v>27840</v>
      </c>
      <c r="L5" s="11">
        <v>0</v>
      </c>
      <c r="M5" s="13">
        <f t="shared" si="4"/>
        <v>0</v>
      </c>
    </row>
    <row r="6" spans="1:13">
      <c r="A6" s="7" t="s">
        <v>16</v>
      </c>
      <c r="B6" s="8" t="s">
        <v>18</v>
      </c>
      <c r="C6" s="9">
        <v>10</v>
      </c>
      <c r="D6" s="10">
        <v>131</v>
      </c>
      <c r="E6" s="11"/>
      <c r="F6" s="9">
        <f t="shared" si="0"/>
        <v>0</v>
      </c>
      <c r="G6" s="11">
        <f t="shared" si="1"/>
        <v>131</v>
      </c>
      <c r="H6" s="12">
        <v>174.77</v>
      </c>
      <c r="I6" s="13">
        <f t="shared" si="2"/>
        <v>22894.870000000003</v>
      </c>
      <c r="J6" s="14">
        <v>192</v>
      </c>
      <c r="K6" s="13">
        <f t="shared" si="3"/>
        <v>25152</v>
      </c>
      <c r="L6" s="11">
        <v>0</v>
      </c>
      <c r="M6" s="13">
        <f t="shared" si="4"/>
        <v>0</v>
      </c>
    </row>
    <row r="7" spans="1:13">
      <c r="A7" s="7" t="s">
        <v>16</v>
      </c>
      <c r="B7" s="8" t="s">
        <v>19</v>
      </c>
      <c r="C7" s="9">
        <v>10</v>
      </c>
      <c r="D7" s="10">
        <v>19</v>
      </c>
      <c r="E7" s="11"/>
      <c r="F7" s="9">
        <f t="shared" si="0"/>
        <v>0</v>
      </c>
      <c r="G7" s="11">
        <f t="shared" si="1"/>
        <v>19</v>
      </c>
      <c r="H7" s="12">
        <v>174.77</v>
      </c>
      <c r="I7" s="13">
        <f t="shared" si="2"/>
        <v>3320.63</v>
      </c>
      <c r="J7" s="14">
        <v>192</v>
      </c>
      <c r="K7" s="13">
        <f t="shared" si="3"/>
        <v>3648</v>
      </c>
      <c r="L7" s="11">
        <v>0</v>
      </c>
      <c r="M7" s="13">
        <f t="shared" si="4"/>
        <v>0</v>
      </c>
    </row>
    <row r="8" spans="1:13">
      <c r="A8" s="7" t="s">
        <v>16</v>
      </c>
      <c r="B8" s="8" t="s">
        <v>20</v>
      </c>
      <c r="C8" s="9">
        <v>10</v>
      </c>
      <c r="D8" s="10">
        <v>64</v>
      </c>
      <c r="E8" s="11"/>
      <c r="F8" s="9">
        <f t="shared" si="0"/>
        <v>0</v>
      </c>
      <c r="G8" s="11">
        <f t="shared" si="1"/>
        <v>64</v>
      </c>
      <c r="H8" s="12">
        <v>174.77</v>
      </c>
      <c r="I8" s="13">
        <f t="shared" si="2"/>
        <v>11185.28</v>
      </c>
      <c r="J8" s="14">
        <v>192</v>
      </c>
      <c r="K8" s="13">
        <f t="shared" si="3"/>
        <v>12288</v>
      </c>
      <c r="L8" s="11">
        <v>0</v>
      </c>
      <c r="M8" s="13">
        <f t="shared" si="4"/>
        <v>0</v>
      </c>
    </row>
    <row r="9" spans="1:13">
      <c r="A9" s="7" t="s">
        <v>16</v>
      </c>
      <c r="B9" s="8" t="s">
        <v>21</v>
      </c>
      <c r="C9" s="9">
        <v>10</v>
      </c>
      <c r="D9" s="10">
        <v>97</v>
      </c>
      <c r="E9" s="11"/>
      <c r="F9" s="9">
        <f t="shared" si="0"/>
        <v>0</v>
      </c>
      <c r="G9" s="11">
        <f t="shared" si="1"/>
        <v>97</v>
      </c>
      <c r="H9" s="12">
        <v>174.77</v>
      </c>
      <c r="I9" s="13">
        <f t="shared" si="2"/>
        <v>16952.690000000002</v>
      </c>
      <c r="J9" s="14">
        <v>192</v>
      </c>
      <c r="K9" s="13">
        <f t="shared" si="3"/>
        <v>18624</v>
      </c>
      <c r="L9" s="11">
        <v>0</v>
      </c>
      <c r="M9" s="13">
        <f t="shared" si="4"/>
        <v>0</v>
      </c>
    </row>
    <row r="10" spans="1:13">
      <c r="A10" s="7" t="s">
        <v>16</v>
      </c>
      <c r="B10" s="8" t="s">
        <v>13</v>
      </c>
      <c r="C10" s="9">
        <v>14</v>
      </c>
      <c r="D10" s="10"/>
      <c r="E10" s="11"/>
      <c r="F10" s="9">
        <f t="shared" si="0"/>
        <v>0</v>
      </c>
      <c r="G10" s="11">
        <f t="shared" si="1"/>
        <v>0</v>
      </c>
      <c r="H10" s="12">
        <v>259.54000000000002</v>
      </c>
      <c r="I10" s="13">
        <f t="shared" si="2"/>
        <v>0</v>
      </c>
      <c r="J10" s="14">
        <v>282</v>
      </c>
      <c r="K10" s="13">
        <f t="shared" si="3"/>
        <v>0</v>
      </c>
      <c r="L10" s="11">
        <v>0</v>
      </c>
      <c r="M10" s="13">
        <f t="shared" si="4"/>
        <v>0</v>
      </c>
    </row>
    <row r="11" spans="1:13">
      <c r="A11" s="7" t="s">
        <v>22</v>
      </c>
      <c r="B11" s="8" t="s">
        <v>23</v>
      </c>
      <c r="C11" s="9">
        <v>20</v>
      </c>
      <c r="D11" s="10">
        <v>10</v>
      </c>
      <c r="E11" s="11"/>
      <c r="F11" s="9">
        <f t="shared" si="0"/>
        <v>0</v>
      </c>
      <c r="G11" s="11">
        <f t="shared" si="1"/>
        <v>10</v>
      </c>
      <c r="H11" s="12">
        <v>470.8</v>
      </c>
      <c r="I11" s="13">
        <f t="shared" si="2"/>
        <v>4708</v>
      </c>
      <c r="J11" s="14">
        <v>505</v>
      </c>
      <c r="K11" s="13">
        <f t="shared" si="3"/>
        <v>5050</v>
      </c>
      <c r="L11" s="11">
        <v>0</v>
      </c>
      <c r="M11" s="13">
        <f t="shared" si="4"/>
        <v>0</v>
      </c>
    </row>
    <row r="12" spans="1:13">
      <c r="A12" s="7" t="s">
        <v>22</v>
      </c>
      <c r="B12" s="8" t="s">
        <v>17</v>
      </c>
      <c r="C12" s="9">
        <v>20</v>
      </c>
      <c r="D12" s="10">
        <v>262</v>
      </c>
      <c r="E12" s="11"/>
      <c r="F12" s="9">
        <f>E12*H12</f>
        <v>0</v>
      </c>
      <c r="G12" s="11">
        <f t="shared" si="1"/>
        <v>262</v>
      </c>
      <c r="H12" s="12">
        <v>475.77</v>
      </c>
      <c r="I12" s="13">
        <f t="shared" si="2"/>
        <v>124651.73999999999</v>
      </c>
      <c r="J12" s="14">
        <v>505</v>
      </c>
      <c r="K12" s="13">
        <f t="shared" si="3"/>
        <v>132310</v>
      </c>
      <c r="L12" s="11">
        <v>0</v>
      </c>
      <c r="M12" s="13">
        <f t="shared" si="4"/>
        <v>0</v>
      </c>
    </row>
    <row r="13" spans="1:13">
      <c r="A13" s="7" t="s">
        <v>22</v>
      </c>
      <c r="B13" s="8" t="s">
        <v>18</v>
      </c>
      <c r="C13" s="9">
        <v>20</v>
      </c>
      <c r="D13" s="10">
        <v>220</v>
      </c>
      <c r="E13" s="11"/>
      <c r="F13" s="9">
        <f t="shared" si="0"/>
        <v>0</v>
      </c>
      <c r="G13" s="11">
        <f t="shared" si="1"/>
        <v>220</v>
      </c>
      <c r="H13" s="12">
        <v>475.77</v>
      </c>
      <c r="I13" s="13">
        <f t="shared" si="2"/>
        <v>104669.4</v>
      </c>
      <c r="J13" s="14">
        <v>505</v>
      </c>
      <c r="K13" s="13">
        <f t="shared" si="3"/>
        <v>111100</v>
      </c>
      <c r="L13" s="11">
        <v>0</v>
      </c>
      <c r="M13" s="13">
        <f t="shared" si="4"/>
        <v>0</v>
      </c>
    </row>
    <row r="14" spans="1:13">
      <c r="A14" s="7" t="s">
        <v>22</v>
      </c>
      <c r="B14" s="8" t="s">
        <v>19</v>
      </c>
      <c r="C14" s="9">
        <v>20</v>
      </c>
      <c r="D14" s="10">
        <v>25</v>
      </c>
      <c r="E14" s="11"/>
      <c r="F14" s="9">
        <f t="shared" si="0"/>
        <v>0</v>
      </c>
      <c r="G14" s="11">
        <f t="shared" si="1"/>
        <v>25</v>
      </c>
      <c r="H14" s="12">
        <v>470.8</v>
      </c>
      <c r="I14" s="13">
        <f t="shared" si="2"/>
        <v>11770</v>
      </c>
      <c r="J14" s="14">
        <v>505</v>
      </c>
      <c r="K14" s="13">
        <f t="shared" si="3"/>
        <v>12625</v>
      </c>
      <c r="L14" s="11">
        <v>0</v>
      </c>
      <c r="M14" s="13">
        <f t="shared" si="4"/>
        <v>0</v>
      </c>
    </row>
    <row r="15" spans="1:13">
      <c r="A15" s="7" t="s">
        <v>22</v>
      </c>
      <c r="B15" s="8" t="s">
        <v>20</v>
      </c>
      <c r="C15" s="9">
        <v>20</v>
      </c>
      <c r="D15" s="10">
        <v>43</v>
      </c>
      <c r="E15" s="11"/>
      <c r="F15" s="9">
        <f t="shared" si="0"/>
        <v>0</v>
      </c>
      <c r="G15" s="11">
        <f t="shared" si="1"/>
        <v>43</v>
      </c>
      <c r="H15" s="12">
        <v>470.8</v>
      </c>
      <c r="I15" s="13">
        <f t="shared" si="2"/>
        <v>20244.400000000001</v>
      </c>
      <c r="J15" s="14">
        <v>505</v>
      </c>
      <c r="K15" s="13">
        <f t="shared" si="3"/>
        <v>21715</v>
      </c>
      <c r="L15" s="11">
        <v>0</v>
      </c>
      <c r="M15" s="13">
        <f t="shared" si="4"/>
        <v>0</v>
      </c>
    </row>
    <row r="16" spans="1:13">
      <c r="A16" s="7" t="s">
        <v>22</v>
      </c>
      <c r="B16" s="8" t="s">
        <v>21</v>
      </c>
      <c r="C16" s="9">
        <v>20</v>
      </c>
      <c r="D16" s="10">
        <v>21</v>
      </c>
      <c r="E16" s="11"/>
      <c r="F16" s="9">
        <f t="shared" si="0"/>
        <v>0</v>
      </c>
      <c r="G16" s="11">
        <f t="shared" si="1"/>
        <v>21</v>
      </c>
      <c r="H16" s="12">
        <v>470.8</v>
      </c>
      <c r="I16" s="13">
        <f t="shared" si="2"/>
        <v>9886.8000000000011</v>
      </c>
      <c r="J16" s="14">
        <v>505</v>
      </c>
      <c r="K16" s="13">
        <f t="shared" si="3"/>
        <v>10605</v>
      </c>
      <c r="L16" s="11">
        <v>0</v>
      </c>
      <c r="M16" s="13">
        <f t="shared" si="4"/>
        <v>0</v>
      </c>
    </row>
    <row r="17" spans="1:13">
      <c r="A17" s="7" t="s">
        <v>22</v>
      </c>
      <c r="B17" s="8" t="s">
        <v>29</v>
      </c>
      <c r="C17" s="9">
        <v>11</v>
      </c>
      <c r="D17" s="10">
        <v>142</v>
      </c>
      <c r="E17" s="11"/>
      <c r="F17" s="9">
        <f t="shared" si="0"/>
        <v>0</v>
      </c>
      <c r="G17" s="11">
        <f t="shared" si="1"/>
        <v>142</v>
      </c>
      <c r="H17" s="12">
        <v>235.59</v>
      </c>
      <c r="I17" s="13">
        <f t="shared" si="2"/>
        <v>33453.78</v>
      </c>
      <c r="J17" s="14">
        <v>250</v>
      </c>
      <c r="K17" s="13">
        <f t="shared" si="3"/>
        <v>35500</v>
      </c>
      <c r="L17" s="11">
        <v>0</v>
      </c>
      <c r="M17" s="13">
        <f t="shared" si="4"/>
        <v>0</v>
      </c>
    </row>
    <row r="18" spans="1:13">
      <c r="A18" s="7" t="s">
        <v>22</v>
      </c>
      <c r="B18" s="8" t="s">
        <v>28</v>
      </c>
      <c r="C18" s="9">
        <v>20</v>
      </c>
      <c r="D18" s="10"/>
      <c r="E18" s="11"/>
      <c r="F18" s="9">
        <f t="shared" si="0"/>
        <v>0</v>
      </c>
      <c r="G18" s="11">
        <f t="shared" si="1"/>
        <v>0</v>
      </c>
      <c r="H18" s="12">
        <v>470.8</v>
      </c>
      <c r="I18" s="13">
        <f t="shared" si="2"/>
        <v>0</v>
      </c>
      <c r="J18" s="14">
        <v>500</v>
      </c>
      <c r="K18" s="13">
        <f t="shared" si="3"/>
        <v>0</v>
      </c>
      <c r="L18" s="11">
        <v>0</v>
      </c>
      <c r="M18" s="13">
        <f t="shared" si="4"/>
        <v>0</v>
      </c>
    </row>
    <row r="19" spans="1:13">
      <c r="A19" s="7" t="s">
        <v>22</v>
      </c>
      <c r="B19" s="8" t="s">
        <v>24</v>
      </c>
      <c r="C19" s="9">
        <v>10</v>
      </c>
      <c r="D19" s="10">
        <v>17</v>
      </c>
      <c r="E19" s="11"/>
      <c r="F19" s="9">
        <f t="shared" si="0"/>
        <v>0</v>
      </c>
      <c r="G19" s="11">
        <f t="shared" si="1"/>
        <v>17</v>
      </c>
      <c r="H19" s="12">
        <v>204</v>
      </c>
      <c r="I19" s="13">
        <f t="shared" si="2"/>
        <v>3468</v>
      </c>
      <c r="J19" s="14">
        <v>230</v>
      </c>
      <c r="K19" s="13">
        <f t="shared" si="3"/>
        <v>3910</v>
      </c>
      <c r="L19" s="11">
        <v>0</v>
      </c>
      <c r="M19" s="13">
        <f t="shared" si="4"/>
        <v>0</v>
      </c>
    </row>
    <row r="20" spans="1:13">
      <c r="A20" s="7" t="s">
        <v>22</v>
      </c>
      <c r="B20" s="8" t="s">
        <v>25</v>
      </c>
      <c r="C20" s="9">
        <v>10</v>
      </c>
      <c r="D20" s="10">
        <v>31</v>
      </c>
      <c r="E20" s="11"/>
      <c r="F20" s="9">
        <f t="shared" si="0"/>
        <v>0</v>
      </c>
      <c r="G20" s="11">
        <f t="shared" si="1"/>
        <v>31</v>
      </c>
      <c r="H20" s="12">
        <v>204</v>
      </c>
      <c r="I20" s="13">
        <f>H20*D20</f>
        <v>6324</v>
      </c>
      <c r="J20" s="14">
        <v>230</v>
      </c>
      <c r="K20" s="13">
        <f t="shared" si="3"/>
        <v>7130</v>
      </c>
      <c r="L20" s="11">
        <v>0</v>
      </c>
      <c r="M20" s="13">
        <f t="shared" si="4"/>
        <v>0</v>
      </c>
    </row>
    <row r="21" spans="1:13">
      <c r="A21" s="7" t="s">
        <v>22</v>
      </c>
      <c r="B21" s="8" t="s">
        <v>26</v>
      </c>
      <c r="C21" s="9">
        <v>10</v>
      </c>
      <c r="D21" s="10">
        <v>3</v>
      </c>
      <c r="E21" s="11"/>
      <c r="F21" s="9">
        <f t="shared" si="0"/>
        <v>0</v>
      </c>
      <c r="G21" s="11">
        <f t="shared" si="1"/>
        <v>3</v>
      </c>
      <c r="H21" s="12">
        <v>204</v>
      </c>
      <c r="I21" s="13">
        <f t="shared" si="2"/>
        <v>612</v>
      </c>
      <c r="J21" s="14">
        <v>230</v>
      </c>
      <c r="K21" s="13">
        <f t="shared" si="3"/>
        <v>690</v>
      </c>
      <c r="L21" s="11">
        <v>0</v>
      </c>
      <c r="M21" s="13">
        <f t="shared" si="4"/>
        <v>0</v>
      </c>
    </row>
    <row r="22" spans="1:13">
      <c r="A22" s="7" t="s">
        <v>22</v>
      </c>
      <c r="B22" s="8" t="s">
        <v>13</v>
      </c>
      <c r="C22" s="9">
        <v>19</v>
      </c>
      <c r="D22" s="10">
        <v>27</v>
      </c>
      <c r="E22" s="11"/>
      <c r="F22" s="9">
        <f t="shared" si="0"/>
        <v>0</v>
      </c>
      <c r="G22" s="11">
        <f t="shared" si="1"/>
        <v>27</v>
      </c>
      <c r="H22" s="12">
        <v>474.46</v>
      </c>
      <c r="I22" s="13">
        <f t="shared" si="2"/>
        <v>12810.42</v>
      </c>
      <c r="J22" s="14">
        <v>505</v>
      </c>
      <c r="K22" s="13">
        <f t="shared" si="3"/>
        <v>13635</v>
      </c>
      <c r="L22" s="11">
        <v>0</v>
      </c>
      <c r="M22" s="13">
        <f t="shared" si="4"/>
        <v>0</v>
      </c>
    </row>
    <row r="23" spans="1:13">
      <c r="A23" s="7" t="s">
        <v>22</v>
      </c>
      <c r="B23" s="8" t="s">
        <v>27</v>
      </c>
      <c r="C23" s="9">
        <v>24</v>
      </c>
      <c r="D23" s="10">
        <v>88</v>
      </c>
      <c r="E23" s="11"/>
      <c r="F23" s="9">
        <f t="shared" si="0"/>
        <v>0</v>
      </c>
      <c r="G23" s="11">
        <f t="shared" si="1"/>
        <v>88</v>
      </c>
      <c r="H23" s="12">
        <v>593.91999999999996</v>
      </c>
      <c r="I23" s="13">
        <f t="shared" si="2"/>
        <v>52264.959999999999</v>
      </c>
      <c r="J23" s="14">
        <v>630</v>
      </c>
      <c r="K23" s="13">
        <f t="shared" si="3"/>
        <v>55440</v>
      </c>
      <c r="L23" s="11">
        <v>0</v>
      </c>
      <c r="M23" s="13">
        <f t="shared" si="4"/>
        <v>0</v>
      </c>
    </row>
    <row r="24" spans="1:13">
      <c r="A24" s="7" t="s">
        <v>30</v>
      </c>
      <c r="B24" s="8" t="s">
        <v>17</v>
      </c>
      <c r="C24" s="9">
        <v>25</v>
      </c>
      <c r="D24" s="10">
        <v>75</v>
      </c>
      <c r="E24" s="10"/>
      <c r="F24" s="9">
        <f t="shared" si="0"/>
        <v>0</v>
      </c>
      <c r="G24" s="11">
        <f t="shared" si="1"/>
        <v>75</v>
      </c>
      <c r="H24" s="12">
        <v>453.3</v>
      </c>
      <c r="I24" s="13">
        <f t="shared" si="2"/>
        <v>33997.5</v>
      </c>
      <c r="J24" s="14">
        <v>493</v>
      </c>
      <c r="K24" s="13">
        <f t="shared" si="3"/>
        <v>36975</v>
      </c>
      <c r="L24" s="11">
        <v>0</v>
      </c>
      <c r="M24" s="13">
        <f t="shared" si="4"/>
        <v>0</v>
      </c>
    </row>
    <row r="25" spans="1:13">
      <c r="A25" s="7" t="s">
        <v>30</v>
      </c>
      <c r="B25" s="8" t="s">
        <v>18</v>
      </c>
      <c r="C25" s="9">
        <v>25</v>
      </c>
      <c r="D25" s="10">
        <v>54</v>
      </c>
      <c r="E25" s="10"/>
      <c r="F25" s="9">
        <f t="shared" si="0"/>
        <v>0</v>
      </c>
      <c r="G25" s="11">
        <f t="shared" si="1"/>
        <v>54</v>
      </c>
      <c r="H25" s="12">
        <v>453.3</v>
      </c>
      <c r="I25" s="13">
        <f t="shared" si="2"/>
        <v>24478.2</v>
      </c>
      <c r="J25" s="14">
        <v>493</v>
      </c>
      <c r="K25" s="13">
        <f t="shared" si="3"/>
        <v>26622</v>
      </c>
      <c r="L25" s="11">
        <v>0</v>
      </c>
      <c r="M25" s="13">
        <f t="shared" si="4"/>
        <v>0</v>
      </c>
    </row>
    <row r="26" spans="1:13">
      <c r="A26" s="7" t="s">
        <v>55</v>
      </c>
      <c r="B26" s="7" t="s">
        <v>17</v>
      </c>
      <c r="C26" s="9">
        <v>70</v>
      </c>
      <c r="D26" s="10"/>
      <c r="E26" s="10"/>
      <c r="F26" s="9">
        <f t="shared" si="0"/>
        <v>0</v>
      </c>
      <c r="G26" s="11">
        <f t="shared" si="1"/>
        <v>0</v>
      </c>
      <c r="H26" s="12">
        <v>959.04</v>
      </c>
      <c r="I26" s="13">
        <f t="shared" si="2"/>
        <v>0</v>
      </c>
      <c r="J26" s="14">
        <v>1010</v>
      </c>
      <c r="K26" s="13">
        <f t="shared" si="3"/>
        <v>0</v>
      </c>
      <c r="L26" s="11">
        <v>0</v>
      </c>
      <c r="M26" s="13">
        <f t="shared" si="4"/>
        <v>0</v>
      </c>
    </row>
    <row r="27" spans="1:13">
      <c r="A27" s="7" t="s">
        <v>55</v>
      </c>
      <c r="B27" s="8" t="s">
        <v>18</v>
      </c>
      <c r="C27" s="9">
        <v>70</v>
      </c>
      <c r="D27" s="10"/>
      <c r="E27" s="10"/>
      <c r="F27" s="9">
        <f t="shared" si="0"/>
        <v>0</v>
      </c>
      <c r="G27" s="11">
        <f t="shared" si="1"/>
        <v>0</v>
      </c>
      <c r="H27" s="12">
        <v>959.04</v>
      </c>
      <c r="I27" s="13">
        <f t="shared" si="2"/>
        <v>0</v>
      </c>
      <c r="J27" s="14">
        <v>1010</v>
      </c>
      <c r="K27" s="13">
        <f t="shared" si="3"/>
        <v>0</v>
      </c>
      <c r="L27" s="11">
        <v>0</v>
      </c>
      <c r="M27" s="13">
        <f t="shared" si="4"/>
        <v>0</v>
      </c>
    </row>
    <row r="28" spans="1:13">
      <c r="A28" s="7" t="s">
        <v>55</v>
      </c>
      <c r="B28" s="8" t="s">
        <v>21</v>
      </c>
      <c r="C28" s="9">
        <v>70</v>
      </c>
      <c r="D28" s="10"/>
      <c r="E28" s="10"/>
      <c r="F28" s="9">
        <f t="shared" si="0"/>
        <v>0</v>
      </c>
      <c r="G28" s="11">
        <f t="shared" si="1"/>
        <v>0</v>
      </c>
      <c r="H28" s="12">
        <v>959.04</v>
      </c>
      <c r="I28" s="13">
        <f t="shared" si="2"/>
        <v>0</v>
      </c>
      <c r="J28" s="14">
        <v>1010</v>
      </c>
      <c r="K28" s="13">
        <f t="shared" si="3"/>
        <v>0</v>
      </c>
      <c r="L28" s="11">
        <v>0</v>
      </c>
      <c r="M28" s="13">
        <f t="shared" si="4"/>
        <v>0</v>
      </c>
    </row>
    <row r="29" spans="1:13">
      <c r="A29" s="7" t="s">
        <v>31</v>
      </c>
      <c r="B29" s="7" t="s">
        <v>17</v>
      </c>
      <c r="C29" s="9">
        <v>40</v>
      </c>
      <c r="D29" s="10"/>
      <c r="E29" s="10"/>
      <c r="F29" s="9">
        <f t="shared" si="0"/>
        <v>0</v>
      </c>
      <c r="G29" s="11">
        <f t="shared" si="1"/>
        <v>0</v>
      </c>
      <c r="H29" s="12">
        <v>821.36</v>
      </c>
      <c r="I29" s="13">
        <f t="shared" si="2"/>
        <v>0</v>
      </c>
      <c r="J29" s="14">
        <v>878</v>
      </c>
      <c r="K29" s="13">
        <f t="shared" si="3"/>
        <v>0</v>
      </c>
      <c r="L29" s="11">
        <v>0</v>
      </c>
      <c r="M29" s="13">
        <f t="shared" si="4"/>
        <v>0</v>
      </c>
    </row>
    <row r="30" spans="1:13">
      <c r="A30" s="7" t="s">
        <v>31</v>
      </c>
      <c r="B30" s="7" t="s">
        <v>18</v>
      </c>
      <c r="C30" s="9">
        <v>40</v>
      </c>
      <c r="D30" s="10"/>
      <c r="E30" s="10"/>
      <c r="F30" s="9">
        <f t="shared" si="0"/>
        <v>0</v>
      </c>
      <c r="G30" s="11">
        <f t="shared" si="1"/>
        <v>0</v>
      </c>
      <c r="H30" s="12">
        <v>821.36</v>
      </c>
      <c r="I30" s="13">
        <f t="shared" si="2"/>
        <v>0</v>
      </c>
      <c r="J30" s="14">
        <v>878</v>
      </c>
      <c r="K30" s="13">
        <f t="shared" si="3"/>
        <v>0</v>
      </c>
      <c r="L30" s="11">
        <v>0</v>
      </c>
      <c r="M30" s="13">
        <f t="shared" si="4"/>
        <v>0</v>
      </c>
    </row>
    <row r="31" spans="1:13">
      <c r="A31" s="7" t="s">
        <v>31</v>
      </c>
      <c r="B31" s="7" t="s">
        <v>19</v>
      </c>
      <c r="C31" s="9">
        <v>40</v>
      </c>
      <c r="D31" s="10"/>
      <c r="E31" s="10"/>
      <c r="F31" s="9">
        <f t="shared" si="0"/>
        <v>0</v>
      </c>
      <c r="G31" s="11">
        <f t="shared" si="1"/>
        <v>0</v>
      </c>
      <c r="H31" s="12">
        <v>817.58</v>
      </c>
      <c r="I31" s="13">
        <f t="shared" si="2"/>
        <v>0</v>
      </c>
      <c r="J31" s="14">
        <v>878</v>
      </c>
      <c r="K31" s="13">
        <f t="shared" si="3"/>
        <v>0</v>
      </c>
      <c r="L31" s="11">
        <v>0</v>
      </c>
      <c r="M31" s="13">
        <f t="shared" si="4"/>
        <v>0</v>
      </c>
    </row>
    <row r="32" spans="1:13">
      <c r="A32" s="7" t="s">
        <v>31</v>
      </c>
      <c r="B32" s="7" t="s">
        <v>20</v>
      </c>
      <c r="C32" s="9">
        <v>40</v>
      </c>
      <c r="D32" s="10"/>
      <c r="E32" s="10"/>
      <c r="F32" s="9">
        <f t="shared" si="0"/>
        <v>0</v>
      </c>
      <c r="G32" s="11">
        <f t="shared" si="1"/>
        <v>0</v>
      </c>
      <c r="H32" s="12">
        <v>817.58</v>
      </c>
      <c r="I32" s="13">
        <f t="shared" si="2"/>
        <v>0</v>
      </c>
      <c r="J32" s="14">
        <v>878</v>
      </c>
      <c r="K32" s="13">
        <f t="shared" si="3"/>
        <v>0</v>
      </c>
      <c r="L32" s="11">
        <v>0</v>
      </c>
      <c r="M32" s="13">
        <f t="shared" si="4"/>
        <v>0</v>
      </c>
    </row>
    <row r="33" spans="1:13">
      <c r="A33" s="7" t="s">
        <v>31</v>
      </c>
      <c r="B33" s="7" t="s">
        <v>21</v>
      </c>
      <c r="C33" s="9">
        <v>40</v>
      </c>
      <c r="D33" s="10"/>
      <c r="E33" s="10"/>
      <c r="F33" s="9">
        <f t="shared" si="0"/>
        <v>0</v>
      </c>
      <c r="G33" s="11">
        <f t="shared" si="1"/>
        <v>0</v>
      </c>
      <c r="H33" s="12">
        <v>817.58</v>
      </c>
      <c r="I33" s="13">
        <f t="shared" si="2"/>
        <v>0</v>
      </c>
      <c r="J33" s="14">
        <v>878</v>
      </c>
      <c r="K33" s="13">
        <f t="shared" si="3"/>
        <v>0</v>
      </c>
      <c r="L33" s="11">
        <v>0</v>
      </c>
      <c r="M33" s="13">
        <f t="shared" si="4"/>
        <v>0</v>
      </c>
    </row>
    <row r="34" spans="1:13">
      <c r="A34" s="7" t="s">
        <v>31</v>
      </c>
      <c r="B34" s="7" t="s">
        <v>32</v>
      </c>
      <c r="C34" s="9">
        <v>40</v>
      </c>
      <c r="D34" s="10"/>
      <c r="E34" s="10"/>
      <c r="F34" s="9">
        <f t="shared" si="0"/>
        <v>0</v>
      </c>
      <c r="G34" s="11">
        <f t="shared" si="1"/>
        <v>0</v>
      </c>
      <c r="H34" s="12">
        <v>817.58</v>
      </c>
      <c r="I34" s="13">
        <f t="shared" si="2"/>
        <v>0</v>
      </c>
      <c r="J34" s="14">
        <v>878</v>
      </c>
      <c r="K34" s="13">
        <f t="shared" si="3"/>
        <v>0</v>
      </c>
      <c r="L34" s="11">
        <v>0</v>
      </c>
      <c r="M34" s="13">
        <f t="shared" si="4"/>
        <v>0</v>
      </c>
    </row>
    <row r="35" spans="1:13">
      <c r="A35" s="7" t="s">
        <v>31</v>
      </c>
      <c r="B35" s="7" t="s">
        <v>33</v>
      </c>
      <c r="C35" s="9">
        <v>60</v>
      </c>
      <c r="D35" s="10">
        <v>194</v>
      </c>
      <c r="E35" s="10"/>
      <c r="F35" s="9">
        <f t="shared" si="0"/>
        <v>0</v>
      </c>
      <c r="G35" s="11">
        <f t="shared" si="1"/>
        <v>194</v>
      </c>
      <c r="H35" s="12">
        <v>1042.6500000000001</v>
      </c>
      <c r="I35" s="13">
        <f t="shared" si="2"/>
        <v>202274.1</v>
      </c>
      <c r="J35" s="14">
        <v>1110</v>
      </c>
      <c r="K35" s="13">
        <f t="shared" si="3"/>
        <v>215340</v>
      </c>
      <c r="L35" s="11">
        <v>0</v>
      </c>
      <c r="M35" s="13">
        <f t="shared" si="4"/>
        <v>0</v>
      </c>
    </row>
    <row r="36" spans="1:13">
      <c r="A36" s="7" t="s">
        <v>34</v>
      </c>
      <c r="B36" s="7" t="s">
        <v>35</v>
      </c>
      <c r="C36" s="9">
        <v>7</v>
      </c>
      <c r="D36" s="10">
        <v>25</v>
      </c>
      <c r="E36" s="10"/>
      <c r="F36" s="9">
        <f t="shared" si="0"/>
        <v>0</v>
      </c>
      <c r="G36" s="11">
        <f t="shared" si="1"/>
        <v>25</v>
      </c>
      <c r="H36" s="12">
        <v>126.24</v>
      </c>
      <c r="I36" s="13">
        <f t="shared" si="2"/>
        <v>3156</v>
      </c>
      <c r="J36" s="14">
        <v>140</v>
      </c>
      <c r="K36" s="13">
        <f t="shared" si="3"/>
        <v>3500</v>
      </c>
      <c r="L36" s="11">
        <v>0</v>
      </c>
      <c r="M36" s="13">
        <f t="shared" si="4"/>
        <v>0</v>
      </c>
    </row>
    <row r="37" spans="1:13">
      <c r="A37" s="7" t="s">
        <v>36</v>
      </c>
      <c r="B37" s="7" t="s">
        <v>37</v>
      </c>
      <c r="C37" s="9">
        <v>125</v>
      </c>
      <c r="D37" s="10">
        <v>43</v>
      </c>
      <c r="E37" s="10"/>
      <c r="F37" s="9">
        <f t="shared" si="0"/>
        <v>0</v>
      </c>
      <c r="G37" s="11">
        <f t="shared" si="1"/>
        <v>43</v>
      </c>
      <c r="H37" s="12">
        <v>2050.54</v>
      </c>
      <c r="I37" s="13">
        <f t="shared" si="2"/>
        <v>88173.22</v>
      </c>
      <c r="J37" s="14">
        <v>2175</v>
      </c>
      <c r="K37" s="13">
        <f t="shared" si="3"/>
        <v>93525</v>
      </c>
      <c r="L37" s="11">
        <v>0</v>
      </c>
      <c r="M37" s="13">
        <f t="shared" si="4"/>
        <v>0</v>
      </c>
    </row>
    <row r="38" spans="1:13">
      <c r="A38" s="7" t="s">
        <v>38</v>
      </c>
      <c r="B38" s="7" t="s">
        <v>17</v>
      </c>
      <c r="C38" s="9">
        <v>20</v>
      </c>
      <c r="D38" s="10"/>
      <c r="E38" s="10"/>
      <c r="F38" s="9">
        <f t="shared" si="0"/>
        <v>0</v>
      </c>
      <c r="G38" s="11">
        <f t="shared" si="1"/>
        <v>0</v>
      </c>
      <c r="H38" s="12">
        <v>399.19</v>
      </c>
      <c r="I38" s="13">
        <f t="shared" si="2"/>
        <v>0</v>
      </c>
      <c r="J38" s="14">
        <v>420</v>
      </c>
      <c r="K38" s="13">
        <f t="shared" si="3"/>
        <v>0</v>
      </c>
      <c r="L38" s="11">
        <v>0</v>
      </c>
      <c r="M38" s="13">
        <f t="shared" si="4"/>
        <v>0</v>
      </c>
    </row>
    <row r="39" spans="1:13">
      <c r="A39" s="7" t="s">
        <v>38</v>
      </c>
      <c r="B39" s="7" t="s">
        <v>18</v>
      </c>
      <c r="C39" s="9">
        <v>20</v>
      </c>
      <c r="D39" s="10"/>
      <c r="E39" s="10"/>
      <c r="F39" s="9">
        <f t="shared" si="0"/>
        <v>0</v>
      </c>
      <c r="G39" s="11">
        <f t="shared" si="1"/>
        <v>0</v>
      </c>
      <c r="H39" s="12">
        <v>399.19</v>
      </c>
      <c r="I39" s="13">
        <f t="shared" si="2"/>
        <v>0</v>
      </c>
      <c r="J39" s="14">
        <v>420</v>
      </c>
      <c r="K39" s="13">
        <f t="shared" si="3"/>
        <v>0</v>
      </c>
      <c r="L39" s="11">
        <v>0</v>
      </c>
      <c r="M39" s="13">
        <f t="shared" si="4"/>
        <v>0</v>
      </c>
    </row>
    <row r="40" spans="1:13">
      <c r="A40" s="7" t="s">
        <v>38</v>
      </c>
      <c r="B40" s="7" t="s">
        <v>21</v>
      </c>
      <c r="C40" s="9">
        <v>20</v>
      </c>
      <c r="D40" s="10"/>
      <c r="E40" s="10"/>
      <c r="F40" s="9">
        <f t="shared" si="0"/>
        <v>0</v>
      </c>
      <c r="G40" s="11">
        <f t="shared" si="1"/>
        <v>0</v>
      </c>
      <c r="H40" s="12">
        <v>399.19</v>
      </c>
      <c r="I40" s="13">
        <f t="shared" si="2"/>
        <v>0</v>
      </c>
      <c r="J40" s="14">
        <v>420</v>
      </c>
      <c r="K40" s="13">
        <f t="shared" si="3"/>
        <v>0</v>
      </c>
      <c r="L40" s="11">
        <v>0</v>
      </c>
      <c r="M40" s="13">
        <f t="shared" si="4"/>
        <v>0</v>
      </c>
    </row>
    <row r="41" spans="1:13">
      <c r="A41" s="7" t="s">
        <v>39</v>
      </c>
      <c r="B41" s="7" t="s">
        <v>35</v>
      </c>
      <c r="C41" s="9">
        <v>9</v>
      </c>
      <c r="D41" s="10">
        <v>18</v>
      </c>
      <c r="E41" s="10"/>
      <c r="F41" s="9">
        <f t="shared" si="0"/>
        <v>0</v>
      </c>
      <c r="G41" s="11">
        <f t="shared" si="1"/>
        <v>18</v>
      </c>
      <c r="H41" s="12">
        <v>174.19</v>
      </c>
      <c r="I41" s="13">
        <f t="shared" si="2"/>
        <v>3135.42</v>
      </c>
      <c r="J41" s="14">
        <v>185</v>
      </c>
      <c r="K41" s="13">
        <f t="shared" si="3"/>
        <v>3330</v>
      </c>
      <c r="L41" s="11">
        <v>0</v>
      </c>
      <c r="M41" s="13">
        <f t="shared" si="4"/>
        <v>0</v>
      </c>
    </row>
    <row r="42" spans="1:13">
      <c r="A42" s="7" t="s">
        <v>40</v>
      </c>
      <c r="B42" s="7" t="s">
        <v>13</v>
      </c>
      <c r="C42" s="9">
        <v>35</v>
      </c>
      <c r="D42" s="10">
        <v>33</v>
      </c>
      <c r="E42" s="10"/>
      <c r="F42" s="9">
        <f t="shared" si="0"/>
        <v>0</v>
      </c>
      <c r="G42" s="11">
        <f t="shared" si="1"/>
        <v>33</v>
      </c>
      <c r="H42" s="12">
        <v>748.13</v>
      </c>
      <c r="I42" s="13">
        <f t="shared" si="2"/>
        <v>24688.29</v>
      </c>
      <c r="J42" s="14">
        <v>795</v>
      </c>
      <c r="K42" s="13">
        <f t="shared" si="3"/>
        <v>26235</v>
      </c>
      <c r="L42" s="11">
        <v>0</v>
      </c>
      <c r="M42" s="13">
        <f t="shared" si="4"/>
        <v>0</v>
      </c>
    </row>
    <row r="43" spans="1:13">
      <c r="A43" s="7" t="s">
        <v>41</v>
      </c>
      <c r="B43" s="7" t="s">
        <v>17</v>
      </c>
      <c r="C43" s="9">
        <v>40</v>
      </c>
      <c r="D43" s="10">
        <v>20</v>
      </c>
      <c r="E43" s="10"/>
      <c r="F43" s="9">
        <f t="shared" si="0"/>
        <v>0</v>
      </c>
      <c r="G43" s="11">
        <f t="shared" si="1"/>
        <v>20</v>
      </c>
      <c r="H43" s="12">
        <v>842.86</v>
      </c>
      <c r="I43" s="13">
        <f t="shared" si="2"/>
        <v>16857.2</v>
      </c>
      <c r="J43" s="14">
        <v>900</v>
      </c>
      <c r="K43" s="13">
        <f t="shared" si="3"/>
        <v>18000</v>
      </c>
      <c r="L43" s="11">
        <v>0</v>
      </c>
      <c r="M43" s="13">
        <f t="shared" si="4"/>
        <v>0</v>
      </c>
    </row>
    <row r="44" spans="1:13">
      <c r="A44" s="7" t="s">
        <v>41</v>
      </c>
      <c r="B44" s="7" t="s">
        <v>18</v>
      </c>
      <c r="C44" s="9">
        <v>40</v>
      </c>
      <c r="D44" s="10">
        <v>21</v>
      </c>
      <c r="E44" s="10"/>
      <c r="F44" s="9">
        <f t="shared" si="0"/>
        <v>0</v>
      </c>
      <c r="G44" s="11">
        <f t="shared" si="1"/>
        <v>21</v>
      </c>
      <c r="H44" s="12">
        <v>842.86</v>
      </c>
      <c r="I44" s="13">
        <f t="shared" si="2"/>
        <v>17700.060000000001</v>
      </c>
      <c r="J44" s="14">
        <v>900</v>
      </c>
      <c r="K44" s="13">
        <f t="shared" si="3"/>
        <v>18900</v>
      </c>
      <c r="L44" s="11">
        <v>0</v>
      </c>
      <c r="M44" s="13">
        <f t="shared" si="4"/>
        <v>0</v>
      </c>
    </row>
    <row r="45" spans="1:13">
      <c r="A45" s="7" t="s">
        <v>41</v>
      </c>
      <c r="B45" s="7" t="s">
        <v>19</v>
      </c>
      <c r="C45" s="9">
        <v>40</v>
      </c>
      <c r="D45" s="10"/>
      <c r="E45" s="10"/>
      <c r="F45" s="9">
        <f t="shared" si="0"/>
        <v>0</v>
      </c>
      <c r="G45" s="11">
        <f t="shared" si="1"/>
        <v>0</v>
      </c>
      <c r="H45" s="12">
        <v>839.68</v>
      </c>
      <c r="I45" s="13">
        <f t="shared" si="2"/>
        <v>0</v>
      </c>
      <c r="J45" s="14">
        <v>900</v>
      </c>
      <c r="K45" s="13">
        <f t="shared" si="3"/>
        <v>0</v>
      </c>
      <c r="L45" s="11">
        <v>0</v>
      </c>
      <c r="M45" s="13">
        <f t="shared" si="4"/>
        <v>0</v>
      </c>
    </row>
    <row r="46" spans="1:13">
      <c r="A46" s="7" t="s">
        <v>41</v>
      </c>
      <c r="B46" s="7" t="s">
        <v>20</v>
      </c>
      <c r="C46" s="9">
        <v>40</v>
      </c>
      <c r="D46" s="10"/>
      <c r="E46" s="10"/>
      <c r="F46" s="9">
        <f t="shared" si="0"/>
        <v>0</v>
      </c>
      <c r="G46" s="11">
        <f t="shared" si="1"/>
        <v>0</v>
      </c>
      <c r="H46" s="12">
        <v>839.68</v>
      </c>
      <c r="I46" s="13">
        <f t="shared" si="2"/>
        <v>0</v>
      </c>
      <c r="J46" s="14">
        <v>900</v>
      </c>
      <c r="K46" s="13">
        <f t="shared" si="3"/>
        <v>0</v>
      </c>
      <c r="L46" s="11">
        <v>0</v>
      </c>
      <c r="M46" s="13">
        <f t="shared" si="4"/>
        <v>0</v>
      </c>
    </row>
    <row r="47" spans="1:13">
      <c r="A47" s="7" t="s">
        <v>41</v>
      </c>
      <c r="B47" s="7" t="s">
        <v>21</v>
      </c>
      <c r="C47" s="9">
        <v>40</v>
      </c>
      <c r="D47" s="10"/>
      <c r="E47" s="10"/>
      <c r="F47" s="9">
        <f t="shared" si="0"/>
        <v>0</v>
      </c>
      <c r="G47" s="11">
        <f t="shared" si="1"/>
        <v>0</v>
      </c>
      <c r="H47" s="12">
        <v>839.68</v>
      </c>
      <c r="I47" s="13">
        <f t="shared" si="2"/>
        <v>0</v>
      </c>
      <c r="J47" s="14">
        <v>900</v>
      </c>
      <c r="K47" s="13">
        <f t="shared" si="3"/>
        <v>0</v>
      </c>
      <c r="L47" s="11">
        <v>0</v>
      </c>
      <c r="M47" s="13">
        <f t="shared" si="4"/>
        <v>0</v>
      </c>
    </row>
    <row r="48" spans="1:13">
      <c r="A48" s="7" t="s">
        <v>42</v>
      </c>
      <c r="B48" s="7" t="s">
        <v>29</v>
      </c>
      <c r="C48" s="9">
        <v>18</v>
      </c>
      <c r="D48" s="10">
        <v>39</v>
      </c>
      <c r="E48" s="10"/>
      <c r="F48" s="9">
        <f t="shared" si="0"/>
        <v>0</v>
      </c>
      <c r="G48" s="11">
        <f t="shared" si="1"/>
        <v>39</v>
      </c>
      <c r="H48" s="12">
        <v>375.68</v>
      </c>
      <c r="I48" s="13">
        <f t="shared" si="2"/>
        <v>14651.52</v>
      </c>
      <c r="J48" s="14">
        <v>400</v>
      </c>
      <c r="K48" s="13">
        <f t="shared" si="3"/>
        <v>15600</v>
      </c>
      <c r="L48" s="11">
        <v>0</v>
      </c>
      <c r="M48" s="13">
        <f t="shared" si="4"/>
        <v>0</v>
      </c>
    </row>
    <row r="49" spans="1:13">
      <c r="A49" s="7" t="s">
        <v>54</v>
      </c>
      <c r="B49" s="7" t="s">
        <v>44</v>
      </c>
      <c r="C49" s="9">
        <v>50</v>
      </c>
      <c r="D49" s="10"/>
      <c r="E49" s="11"/>
      <c r="F49" s="9">
        <f t="shared" si="0"/>
        <v>0</v>
      </c>
      <c r="G49" s="11">
        <f t="shared" si="1"/>
        <v>0</v>
      </c>
      <c r="H49" s="12">
        <v>670.32</v>
      </c>
      <c r="I49" s="13">
        <f t="shared" si="2"/>
        <v>0</v>
      </c>
      <c r="J49" s="14">
        <v>710</v>
      </c>
      <c r="K49" s="13">
        <f t="shared" si="3"/>
        <v>0</v>
      </c>
      <c r="L49" s="11">
        <v>0</v>
      </c>
      <c r="M49" s="13">
        <f t="shared" si="4"/>
        <v>0</v>
      </c>
    </row>
    <row r="50" spans="1:13">
      <c r="A50" s="7" t="s">
        <v>43</v>
      </c>
      <c r="B50" s="7" t="s">
        <v>17</v>
      </c>
      <c r="C50" s="9">
        <v>50</v>
      </c>
      <c r="D50" s="10">
        <v>102</v>
      </c>
      <c r="E50" s="10"/>
      <c r="F50" s="9">
        <f t="shared" si="0"/>
        <v>0</v>
      </c>
      <c r="G50" s="11">
        <f t="shared" si="1"/>
        <v>102</v>
      </c>
      <c r="H50" s="12">
        <v>661.22</v>
      </c>
      <c r="I50" s="13">
        <f t="shared" si="2"/>
        <v>67444.44</v>
      </c>
      <c r="J50" s="14">
        <v>710</v>
      </c>
      <c r="K50" s="13">
        <f t="shared" si="3"/>
        <v>72420</v>
      </c>
      <c r="L50" s="11">
        <v>0</v>
      </c>
      <c r="M50" s="13">
        <f t="shared" si="4"/>
        <v>0</v>
      </c>
    </row>
    <row r="51" spans="1:13">
      <c r="A51" s="7" t="s">
        <v>43</v>
      </c>
      <c r="B51" s="7" t="s">
        <v>18</v>
      </c>
      <c r="C51" s="9">
        <v>50</v>
      </c>
      <c r="D51" s="10">
        <v>48</v>
      </c>
      <c r="E51" s="10"/>
      <c r="F51" s="9">
        <f t="shared" si="0"/>
        <v>0</v>
      </c>
      <c r="G51" s="11">
        <f t="shared" si="1"/>
        <v>48</v>
      </c>
      <c r="H51" s="12">
        <v>661.22</v>
      </c>
      <c r="I51" s="13">
        <f t="shared" si="2"/>
        <v>31738.560000000001</v>
      </c>
      <c r="J51" s="14">
        <v>710</v>
      </c>
      <c r="K51" s="13">
        <f t="shared" si="3"/>
        <v>34080</v>
      </c>
      <c r="L51" s="11">
        <v>0</v>
      </c>
      <c r="M51" s="13">
        <f t="shared" si="4"/>
        <v>0</v>
      </c>
    </row>
    <row r="52" spans="1:13">
      <c r="A52" s="7" t="s">
        <v>43</v>
      </c>
      <c r="B52" s="7" t="s">
        <v>19</v>
      </c>
      <c r="C52" s="9">
        <v>50</v>
      </c>
      <c r="D52" s="10"/>
      <c r="E52" s="10"/>
      <c r="F52" s="9">
        <f t="shared" si="0"/>
        <v>0</v>
      </c>
      <c r="G52" s="11">
        <f t="shared" si="1"/>
        <v>0</v>
      </c>
      <c r="H52" s="12">
        <v>661.22</v>
      </c>
      <c r="I52" s="13">
        <f t="shared" si="2"/>
        <v>0</v>
      </c>
      <c r="J52" s="14">
        <v>710</v>
      </c>
      <c r="K52" s="13">
        <f t="shared" si="3"/>
        <v>0</v>
      </c>
      <c r="L52" s="11">
        <v>0</v>
      </c>
      <c r="M52" s="13">
        <f t="shared" si="4"/>
        <v>0</v>
      </c>
    </row>
    <row r="53" spans="1:13">
      <c r="A53" s="7" t="s">
        <v>43</v>
      </c>
      <c r="B53" s="7" t="s">
        <v>20</v>
      </c>
      <c r="C53" s="9">
        <v>50</v>
      </c>
      <c r="D53" s="10"/>
      <c r="E53" s="10"/>
      <c r="F53" s="9">
        <f t="shared" si="0"/>
        <v>0</v>
      </c>
      <c r="G53" s="11">
        <f t="shared" si="1"/>
        <v>0</v>
      </c>
      <c r="H53" s="12">
        <v>661.22</v>
      </c>
      <c r="I53" s="13">
        <f t="shared" si="2"/>
        <v>0</v>
      </c>
      <c r="J53" s="14">
        <v>710</v>
      </c>
      <c r="K53" s="13">
        <f t="shared" si="3"/>
        <v>0</v>
      </c>
      <c r="L53" s="11">
        <v>0</v>
      </c>
      <c r="M53" s="13">
        <f t="shared" si="4"/>
        <v>0</v>
      </c>
    </row>
    <row r="54" spans="1:13">
      <c r="A54" s="7" t="s">
        <v>43</v>
      </c>
      <c r="B54" s="7" t="s">
        <v>21</v>
      </c>
      <c r="C54" s="9">
        <v>50</v>
      </c>
      <c r="D54" s="10"/>
      <c r="E54" s="10"/>
      <c r="F54" s="9">
        <f t="shared" si="0"/>
        <v>0</v>
      </c>
      <c r="G54" s="11">
        <f t="shared" si="1"/>
        <v>0</v>
      </c>
      <c r="H54" s="12">
        <v>661.22</v>
      </c>
      <c r="I54" s="13">
        <f t="shared" si="2"/>
        <v>0</v>
      </c>
      <c r="J54" s="14">
        <v>710</v>
      </c>
      <c r="K54" s="13">
        <f t="shared" si="3"/>
        <v>0</v>
      </c>
      <c r="L54" s="11">
        <v>0</v>
      </c>
      <c r="M54" s="13">
        <f t="shared" si="4"/>
        <v>0</v>
      </c>
    </row>
    <row r="55" spans="1:13">
      <c r="A55" s="7" t="s">
        <v>43</v>
      </c>
      <c r="B55" s="7" t="s">
        <v>44</v>
      </c>
      <c r="C55" s="9">
        <v>85</v>
      </c>
      <c r="D55" s="10">
        <v>14</v>
      </c>
      <c r="E55" s="10"/>
      <c r="F55" s="9">
        <f t="shared" si="0"/>
        <v>0</v>
      </c>
      <c r="G55" s="11">
        <f t="shared" si="1"/>
        <v>14</v>
      </c>
      <c r="H55" s="12">
        <v>797.07</v>
      </c>
      <c r="I55" s="13">
        <f t="shared" si="2"/>
        <v>11158.980000000001</v>
      </c>
      <c r="J55" s="14">
        <v>845</v>
      </c>
      <c r="K55" s="13">
        <f t="shared" si="3"/>
        <v>11830</v>
      </c>
      <c r="L55" s="11">
        <v>0</v>
      </c>
      <c r="M55" s="13">
        <f t="shared" si="4"/>
        <v>0</v>
      </c>
    </row>
    <row r="56" spans="1:13">
      <c r="A56" s="7" t="s">
        <v>45</v>
      </c>
      <c r="B56" s="7" t="s">
        <v>35</v>
      </c>
      <c r="C56" s="9">
        <v>18</v>
      </c>
      <c r="D56" s="10">
        <v>605</v>
      </c>
      <c r="E56" s="10"/>
      <c r="F56" s="9">
        <f t="shared" si="0"/>
        <v>0</v>
      </c>
      <c r="G56" s="11">
        <f t="shared" si="1"/>
        <v>605</v>
      </c>
      <c r="H56" s="12">
        <v>160.77000000000001</v>
      </c>
      <c r="I56" s="13">
        <f t="shared" si="2"/>
        <v>97265.85</v>
      </c>
      <c r="J56" s="14">
        <v>175</v>
      </c>
      <c r="K56" s="13">
        <f t="shared" si="3"/>
        <v>105875</v>
      </c>
      <c r="L56" s="11">
        <v>0</v>
      </c>
      <c r="M56" s="13">
        <f t="shared" si="4"/>
        <v>0</v>
      </c>
    </row>
    <row r="57" spans="1:13">
      <c r="A57" s="7" t="s">
        <v>46</v>
      </c>
      <c r="B57" s="7" t="s">
        <v>13</v>
      </c>
      <c r="C57" s="9">
        <v>70</v>
      </c>
      <c r="D57" s="10">
        <v>15</v>
      </c>
      <c r="E57" s="10"/>
      <c r="F57" s="9">
        <f t="shared" si="0"/>
        <v>0</v>
      </c>
      <c r="G57" s="11">
        <f t="shared" si="1"/>
        <v>15</v>
      </c>
      <c r="H57" s="12">
        <v>744.99</v>
      </c>
      <c r="I57" s="13">
        <f t="shared" si="2"/>
        <v>11174.85</v>
      </c>
      <c r="J57" s="14">
        <v>790</v>
      </c>
      <c r="K57" s="13">
        <f t="shared" si="3"/>
        <v>11850</v>
      </c>
      <c r="L57" s="11">
        <v>0</v>
      </c>
      <c r="M57" s="13">
        <f t="shared" si="4"/>
        <v>0</v>
      </c>
    </row>
    <row r="58" spans="1:13">
      <c r="A58" s="7" t="s">
        <v>47</v>
      </c>
      <c r="B58" s="7" t="s">
        <v>29</v>
      </c>
      <c r="C58" s="9">
        <v>30</v>
      </c>
      <c r="D58" s="10"/>
      <c r="E58" s="10"/>
      <c r="F58" s="9">
        <f t="shared" si="0"/>
        <v>0</v>
      </c>
      <c r="G58" s="11">
        <f t="shared" si="1"/>
        <v>0</v>
      </c>
      <c r="H58" s="12">
        <v>316.14999999999998</v>
      </c>
      <c r="I58" s="13">
        <f t="shared" si="2"/>
        <v>0</v>
      </c>
      <c r="J58" s="14">
        <v>336</v>
      </c>
      <c r="K58" s="13">
        <f t="shared" si="3"/>
        <v>0</v>
      </c>
      <c r="L58" s="11">
        <v>0</v>
      </c>
      <c r="M58" s="13">
        <f t="shared" si="4"/>
        <v>0</v>
      </c>
    </row>
    <row r="59" spans="1:13">
      <c r="A59" s="7" t="s">
        <v>48</v>
      </c>
      <c r="B59" s="7" t="s">
        <v>13</v>
      </c>
      <c r="C59" s="9">
        <v>95</v>
      </c>
      <c r="D59" s="10">
        <v>20</v>
      </c>
      <c r="E59" s="10"/>
      <c r="F59" s="9">
        <f t="shared" si="0"/>
        <v>0</v>
      </c>
      <c r="G59" s="11">
        <f t="shared" si="1"/>
        <v>20</v>
      </c>
      <c r="H59" s="12">
        <v>1042.9000000000001</v>
      </c>
      <c r="I59" s="13">
        <f t="shared" si="2"/>
        <v>20858</v>
      </c>
      <c r="J59" s="14">
        <v>1105</v>
      </c>
      <c r="K59" s="13">
        <f t="shared" si="3"/>
        <v>22100</v>
      </c>
      <c r="L59" s="11">
        <v>0</v>
      </c>
      <c r="M59" s="13">
        <f t="shared" si="4"/>
        <v>0</v>
      </c>
    </row>
    <row r="60" spans="1:13">
      <c r="A60" s="7" t="s">
        <v>49</v>
      </c>
      <c r="B60" s="7" t="s">
        <v>35</v>
      </c>
      <c r="C60" s="9">
        <v>28</v>
      </c>
      <c r="D60" s="10">
        <v>10</v>
      </c>
      <c r="E60" s="10"/>
      <c r="F60" s="9">
        <f t="shared" si="0"/>
        <v>0</v>
      </c>
      <c r="G60" s="11">
        <f t="shared" si="1"/>
        <v>10</v>
      </c>
      <c r="H60" s="12">
        <v>165.06</v>
      </c>
      <c r="I60" s="13">
        <f t="shared" si="2"/>
        <v>1650.6</v>
      </c>
      <c r="J60" s="14">
        <v>180</v>
      </c>
      <c r="K60" s="13">
        <f t="shared" si="3"/>
        <v>1800</v>
      </c>
      <c r="L60" s="11">
        <v>0</v>
      </c>
      <c r="M60" s="13">
        <f t="shared" si="4"/>
        <v>0</v>
      </c>
    </row>
    <row r="61" spans="1:13">
      <c r="A61" s="7" t="s">
        <v>50</v>
      </c>
      <c r="B61" s="7" t="s">
        <v>17</v>
      </c>
      <c r="C61" s="9">
        <v>70</v>
      </c>
      <c r="D61" s="10"/>
      <c r="E61" s="10"/>
      <c r="F61" s="9">
        <f t="shared" si="0"/>
        <v>0</v>
      </c>
      <c r="G61" s="11">
        <f t="shared" si="1"/>
        <v>0</v>
      </c>
      <c r="H61" s="12">
        <v>721.25</v>
      </c>
      <c r="I61" s="13">
        <f t="shared" si="2"/>
        <v>0</v>
      </c>
      <c r="J61" s="14">
        <v>771</v>
      </c>
      <c r="K61" s="13">
        <f t="shared" si="3"/>
        <v>0</v>
      </c>
      <c r="L61" s="11">
        <v>0</v>
      </c>
      <c r="M61" s="13">
        <f t="shared" si="4"/>
        <v>0</v>
      </c>
    </row>
    <row r="62" spans="1:13">
      <c r="A62" s="7" t="s">
        <v>50</v>
      </c>
      <c r="B62" s="7" t="s">
        <v>18</v>
      </c>
      <c r="C62" s="9">
        <v>70</v>
      </c>
      <c r="D62" s="10"/>
      <c r="E62" s="10"/>
      <c r="F62" s="9">
        <f t="shared" si="0"/>
        <v>0</v>
      </c>
      <c r="G62" s="11">
        <f t="shared" si="1"/>
        <v>0</v>
      </c>
      <c r="H62" s="12">
        <v>721.25</v>
      </c>
      <c r="I62" s="13">
        <f t="shared" si="2"/>
        <v>0</v>
      </c>
      <c r="J62" s="14">
        <v>771</v>
      </c>
      <c r="K62" s="13">
        <f t="shared" si="3"/>
        <v>0</v>
      </c>
      <c r="L62" s="11">
        <v>0</v>
      </c>
      <c r="M62" s="13">
        <f t="shared" si="4"/>
        <v>0</v>
      </c>
    </row>
    <row r="63" spans="1:13">
      <c r="A63" s="7" t="s">
        <v>51</v>
      </c>
      <c r="B63" s="7" t="s">
        <v>17</v>
      </c>
      <c r="C63" s="9">
        <v>100</v>
      </c>
      <c r="D63" s="10">
        <v>165</v>
      </c>
      <c r="E63" s="10"/>
      <c r="F63" s="9">
        <f t="shared" si="0"/>
        <v>0</v>
      </c>
      <c r="G63" s="11">
        <f t="shared" si="1"/>
        <v>165</v>
      </c>
      <c r="H63" s="12">
        <v>790.89</v>
      </c>
      <c r="I63" s="13">
        <f t="shared" si="2"/>
        <v>130496.84999999999</v>
      </c>
      <c r="J63" s="14">
        <v>845</v>
      </c>
      <c r="K63" s="13">
        <f t="shared" si="3"/>
        <v>139425</v>
      </c>
      <c r="L63" s="11">
        <v>0</v>
      </c>
      <c r="M63" s="13">
        <f t="shared" si="4"/>
        <v>0</v>
      </c>
    </row>
    <row r="64" spans="1:13">
      <c r="A64" s="7" t="s">
        <v>51</v>
      </c>
      <c r="B64" s="7" t="s">
        <v>18</v>
      </c>
      <c r="C64" s="9">
        <v>100</v>
      </c>
      <c r="D64" s="10">
        <v>61</v>
      </c>
      <c r="E64" s="10"/>
      <c r="F64" s="9">
        <f t="shared" si="0"/>
        <v>0</v>
      </c>
      <c r="G64" s="11">
        <f t="shared" si="1"/>
        <v>61</v>
      </c>
      <c r="H64" s="12">
        <v>790.89</v>
      </c>
      <c r="I64" s="13">
        <f t="shared" si="2"/>
        <v>48244.29</v>
      </c>
      <c r="J64" s="14">
        <v>845</v>
      </c>
      <c r="K64" s="13">
        <f t="shared" si="3"/>
        <v>51545</v>
      </c>
      <c r="L64" s="11">
        <v>0</v>
      </c>
      <c r="M64" s="13">
        <f t="shared" si="4"/>
        <v>0</v>
      </c>
    </row>
    <row r="65" spans="1:13">
      <c r="A65" s="7" t="s">
        <v>51</v>
      </c>
      <c r="B65" s="7" t="s">
        <v>19</v>
      </c>
      <c r="C65" s="9">
        <v>100</v>
      </c>
      <c r="D65" s="10"/>
      <c r="E65" s="10"/>
      <c r="F65" s="9">
        <f t="shared" si="0"/>
        <v>0</v>
      </c>
      <c r="G65" s="11">
        <f t="shared" si="1"/>
        <v>0</v>
      </c>
      <c r="H65" s="12">
        <v>790.89</v>
      </c>
      <c r="I65" s="13">
        <f t="shared" si="2"/>
        <v>0</v>
      </c>
      <c r="J65" s="14">
        <v>845</v>
      </c>
      <c r="K65" s="13">
        <f t="shared" si="3"/>
        <v>0</v>
      </c>
      <c r="L65" s="11">
        <v>0</v>
      </c>
      <c r="M65" s="13">
        <f t="shared" si="4"/>
        <v>0</v>
      </c>
    </row>
    <row r="66" spans="1:13">
      <c r="A66" s="7" t="s">
        <v>51</v>
      </c>
      <c r="B66" s="7" t="s">
        <v>20</v>
      </c>
      <c r="C66" s="9">
        <v>100</v>
      </c>
      <c r="D66" s="10"/>
      <c r="E66" s="11"/>
      <c r="F66" s="9">
        <f t="shared" si="0"/>
        <v>0</v>
      </c>
      <c r="G66" s="11">
        <f t="shared" si="1"/>
        <v>0</v>
      </c>
      <c r="H66" s="12">
        <v>790.89</v>
      </c>
      <c r="I66" s="13">
        <f t="shared" si="2"/>
        <v>0</v>
      </c>
      <c r="J66" s="14">
        <v>845</v>
      </c>
      <c r="K66" s="13">
        <f t="shared" si="3"/>
        <v>0</v>
      </c>
      <c r="L66" s="11">
        <v>0</v>
      </c>
      <c r="M66" s="13">
        <f t="shared" si="4"/>
        <v>0</v>
      </c>
    </row>
    <row r="67" spans="1:13">
      <c r="A67" s="7" t="s">
        <v>51</v>
      </c>
      <c r="B67" s="7" t="s">
        <v>21</v>
      </c>
      <c r="C67" s="9">
        <v>100</v>
      </c>
      <c r="D67" s="10"/>
      <c r="E67" s="11"/>
      <c r="F67" s="15">
        <f t="shared" si="0"/>
        <v>0</v>
      </c>
      <c r="G67" s="11">
        <f t="shared" si="1"/>
        <v>0</v>
      </c>
      <c r="H67" s="12">
        <v>790.89</v>
      </c>
      <c r="I67" s="13">
        <f t="shared" si="2"/>
        <v>0</v>
      </c>
      <c r="J67" s="14">
        <v>845</v>
      </c>
      <c r="K67" s="13">
        <f t="shared" si="3"/>
        <v>0</v>
      </c>
      <c r="L67" s="11">
        <v>0</v>
      </c>
      <c r="M67" s="13">
        <f t="shared" si="4"/>
        <v>0</v>
      </c>
    </row>
    <row r="68" spans="1:13">
      <c r="A68" s="35" t="s">
        <v>52</v>
      </c>
      <c r="B68" s="36"/>
      <c r="C68" s="37"/>
      <c r="D68" s="16">
        <f>SUM(D2:D67)</f>
        <v>3216</v>
      </c>
      <c r="E68" s="17">
        <f>SUM(E2:E67)</f>
        <v>0</v>
      </c>
      <c r="F68" s="18">
        <f>SUM(F2:F67)</f>
        <v>0</v>
      </c>
      <c r="G68" s="17">
        <f>SUM(G2:G67)</f>
        <v>3216</v>
      </c>
      <c r="H68" s="19"/>
      <c r="I68" s="20">
        <f>SUM(I2:I67)</f>
        <v>1408918.8600000003</v>
      </c>
      <c r="J68" s="21">
        <f>SUM(J2:J67)</f>
        <v>41132</v>
      </c>
      <c r="K68" s="22">
        <f>SUM(K2:K67)</f>
        <v>1506948</v>
      </c>
      <c r="L68" s="23">
        <f>SUM(L2:L67)</f>
        <v>0</v>
      </c>
      <c r="M68" s="24">
        <f>SUM(M2:M67)</f>
        <v>0</v>
      </c>
    </row>
    <row r="71" spans="1:13">
      <c r="F71" s="31"/>
    </row>
    <row r="74" spans="1:13">
      <c r="I74" s="33"/>
      <c r="J74" s="32"/>
      <c r="K74" s="33"/>
    </row>
    <row r="75" spans="1:13">
      <c r="I75" s="33"/>
      <c r="J75" s="32"/>
      <c r="K75" s="33"/>
    </row>
    <row r="76" spans="1:13">
      <c r="I76" s="33"/>
      <c r="J76" s="29"/>
      <c r="K76" s="30"/>
    </row>
    <row r="77" spans="1:13">
      <c r="D77" s="25" t="s">
        <v>53</v>
      </c>
      <c r="I77" s="33"/>
      <c r="J77" s="34"/>
      <c r="K77" s="34"/>
    </row>
    <row r="78" spans="1:13">
      <c r="I78" s="33"/>
      <c r="J78" s="32"/>
      <c r="K78" s="33"/>
    </row>
    <row r="79" spans="1:13">
      <c r="F79" s="26"/>
      <c r="I79" s="33"/>
      <c r="J79" s="32"/>
      <c r="K79" s="33"/>
    </row>
    <row r="80" spans="1:13">
      <c r="F80" s="26"/>
      <c r="I80" s="33"/>
      <c r="J80" s="32"/>
      <c r="K80" s="33"/>
    </row>
    <row r="81" spans="6:6">
      <c r="F81" s="26"/>
    </row>
  </sheetData>
  <mergeCells count="1">
    <mergeCell ref="A68:C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2026-01-22T04:14:01Z</dcterms:modified>
</cp:coreProperties>
</file>